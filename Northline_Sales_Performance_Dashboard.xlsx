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ver" sheetId="1" state="visible" r:id="rId1"/>
    <sheet name="01_Executive" sheetId="2" state="visible" r:id="rId2"/>
    <sheet name="02_MTD" sheetId="3" state="visible" r:id="rId3"/>
    <sheet name="03_SPLY" sheetId="4" state="visible" r:id="rId4"/>
    <sheet name="04_Measures" sheetId="5" state="visible" r:id="rId5"/>
    <sheet name="05_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color rgb="00000000"/>
      <sz val="11"/>
    </font>
    <font>
      <name val="Calibri"/>
      <b val="1"/>
      <color rgb="001F4E79"/>
      <sz val="10"/>
    </font>
    <font>
      <name val="Calibri"/>
      <b val="1"/>
      <color rgb="00000000"/>
      <sz val="16"/>
    </font>
    <font>
      <name val="Calibri"/>
      <i val="1"/>
      <color rgb="00666666"/>
      <sz val="10"/>
    </font>
    <font>
      <name val="Calibri"/>
      <b val="1"/>
      <color rgb="001F4E79"/>
      <sz val="18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0000FF"/>
      <sz val="11"/>
    </font>
    <font>
      <name val="Calibri"/>
      <b val="1"/>
      <sz val="11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9EDF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164" fontId="6" fillId="3" borderId="1" applyAlignment="1" pivotButton="0" quotePrefix="0" xfId="0">
      <alignment horizontal="center"/>
    </xf>
    <xf numFmtId="3" fontId="6" fillId="3" borderId="1" applyAlignment="1" pivotButton="0" quotePrefix="0" xfId="0">
      <alignment horizontal="center"/>
    </xf>
    <xf numFmtId="165" fontId="6" fillId="3" borderId="1" applyAlignment="1" pivotButton="0" quotePrefix="0" xfId="0">
      <alignment horizontal="center"/>
    </xf>
    <xf numFmtId="0" fontId="9" fillId="2" borderId="1" applyAlignment="1" pivotButton="0" quotePrefix="0" xfId="0">
      <alignment horizontal="center" wrapText="1"/>
    </xf>
    <xf numFmtId="0" fontId="4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10" fillId="0" borderId="0" pivotButton="0" quotePrefix="0" xfId="0"/>
    <xf numFmtId="0" fontId="11" fillId="4" borderId="1" pivotButton="0" quotePrefix="0" xfId="0"/>
    <xf numFmtId="165" fontId="4" fillId="0" borderId="1" pivotButton="0" quotePrefix="0" xfId="0"/>
    <xf numFmtId="165" fontId="9" fillId="2" borderId="1" applyAlignment="1" pivotButton="0" quotePrefix="0" xfId="0">
      <alignment horizontal="center" wrapText="1"/>
    </xf>
    <xf numFmtId="165" fontId="0" fillId="0" borderId="0" pivotButton="0" quotePrefix="0" xfId="0"/>
    <xf numFmtId="164" fontId="4" fillId="0" borderId="1" pivotButton="0" quotePrefix="0" xfId="0"/>
    <xf numFmtId="166" fontId="4" fillId="0" borderId="1" pivotButton="0" quotePrefix="0" xfId="0"/>
    <xf numFmtId="0" fontId="1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'01_Executive'!C9</f>
            </strRef>
          </tx>
          <spPr>
            <a:ln>
              <a:prstDash val="solid"/>
            </a:ln>
          </spPr>
          <cat>
            <numRef>
              <f>'01_Executive'!$B$10:$B$14</f>
            </numRef>
          </cat>
          <val>
            <numRef>
              <f>'01_Executive'!$C$10:$C$14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by Brand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'01_Executive'!C17</f>
            </strRef>
          </tx>
          <spPr>
            <a:ln>
              <a:prstDash val="solid"/>
            </a:ln>
          </spPr>
          <cat>
            <numRef>
              <f>'01_Executive'!$B$18:$B$20</f>
            </numRef>
          </cat>
          <val>
            <numRef>
              <f>'01_Executive'!$C$18:$C$20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Products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'01_Executive'!C23</f>
            </strRef>
          </tx>
          <spPr>
            <a:ln>
              <a:prstDash val="solid"/>
            </a:ln>
          </spPr>
          <cat>
            <numRef>
              <f>'01_Executive'!$B$24:$B$33</f>
            </numRef>
          </cat>
          <val>
            <numRef>
              <f>'01_Executive'!$C$24:$C$33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Settlement Mix</a:t>
            </a:r>
          </a:p>
        </rich>
      </tx>
    </title>
    <plotArea>
      <pieChart>
        <varyColors val="1"/>
        <ser>
          <idx val="0"/>
          <order val="0"/>
          <tx>
            <strRef>
              <f>'01_Executive'!C37</f>
            </strRef>
          </tx>
          <spPr>
            <a:ln>
              <a:prstDash val="solid"/>
            </a:ln>
          </spPr>
          <cat>
            <numRef>
              <f>'01_Executive'!$B$38:$B$42</f>
            </numRef>
          </cat>
          <val>
            <numRef>
              <f>'01_Executive'!$C$38:$C$42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Daily Sales vs Cumulative MTD</a:t>
            </a:r>
          </a:p>
        </rich>
      </tx>
    </title>
    <plotArea>
      <lineChart>
        <grouping val="standard"/>
        <ser>
          <idx val="0"/>
          <order val="0"/>
          <tx>
            <strRef>
              <f>'02_MTD'!C14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'02_MTD'!$B$15:$B$45</f>
            </numRef>
          </cat>
          <val>
            <numRef>
              <f>'02_MTD'!$C$15:$C$45</f>
            </numRef>
          </val>
        </ser>
        <ser>
          <idx val="1"/>
          <order val="1"/>
          <tx>
            <strRef>
              <f>'02_MTD'!D14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'02_MTD'!$B$15:$B$45</f>
            </numRef>
          </cat>
          <val>
            <numRef>
              <f>'02_MTD'!$D$15:$D$45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Day of 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vs Prior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'03_SPLY'!C5</f>
            </strRef>
          </tx>
          <spPr>
            <a:ln>
              <a:prstDash val="solid"/>
            </a:ln>
          </spPr>
          <cat>
            <numRef>
              <f>'03_SPLY'!$B$6:$B$9</f>
            </numRef>
          </cat>
          <val>
            <numRef>
              <f>'03_SPLY'!$C$6:$C$9</f>
            </numRef>
          </val>
        </ser>
        <ser>
          <idx val="1"/>
          <order val="1"/>
          <tx>
            <strRef>
              <f>'03_SPLY'!D5</f>
            </strRef>
          </tx>
          <spPr>
            <a:ln>
              <a:prstDash val="solid"/>
            </a:ln>
          </spPr>
          <cat>
            <numRef>
              <f>'03_SPLY'!$B$6:$B$9</f>
            </numRef>
          </cat>
          <val>
            <numRef>
              <f>'03_SPLY'!$D$6:$D$9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27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35</row>
      <rowOff>0</rowOff>
    </from>
    <ext cx="36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7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 ht="36" customHeight="1">
      <c r="B2" s="1" t="inlineStr">
        <is>
          <t>NORTHLINE CONSUMER PRODUCTS</t>
        </is>
      </c>
      <c r="C2" s="2" t="n"/>
      <c r="D2" s="2" t="n"/>
      <c r="E2" s="2" t="n"/>
      <c r="F2" s="2" t="n"/>
    </row>
    <row r="3">
      <c r="B3" s="3" t="inlineStr">
        <is>
          <t>Sales Performance &amp; Time-Intelligence Dashboard</t>
        </is>
      </c>
    </row>
    <row r="5" ht="60" customHeight="1">
      <c r="B5" s="4" t="inlineStr">
        <is>
          <t>Portfolio sample for Sai Siri Bandaru — FP&amp;A / Sales Analytics. Excel workbook recreates the Executive, MTD, and SPLY views typically built in Power BI Desktop. Yellow cells = filter inputs; black = formulas / computed values.</t>
        </is>
      </c>
    </row>
    <row r="7">
      <c r="B7" s="5" t="inlineStr">
        <is>
          <t>Package contents</t>
        </is>
      </c>
    </row>
    <row r="8">
      <c r="B8" s="6" t="inlineStr">
        <is>
          <t>01_Executive — KPI cards, channel / brand / SKU / settlement / city / rating views</t>
        </is>
      </c>
    </row>
    <row r="9">
      <c r="B9" s="6" t="inlineStr">
        <is>
          <t>02_MTD — yellow Year/Month inputs, daily sales + cumulative MTD chart</t>
        </is>
      </c>
    </row>
    <row r="10">
      <c r="B10" s="6" t="inlineStr">
        <is>
          <t>03_SPLY — year / quarter / month same-period-last-year comparisons</t>
        </is>
      </c>
    </row>
    <row r="11">
      <c r="B11" s="6" t="inlineStr">
        <is>
          <t>04_Measures — Excel formula equivalents + DAX to paste into Power BI</t>
        </is>
      </c>
    </row>
    <row r="12">
      <c r="B12" s="6" t="inlineStr">
        <is>
          <t>05_Data_Dictionary — field definitions for sales_data and Calendar</t>
        </is>
      </c>
    </row>
    <row r="13">
      <c r="B13" s="6" t="inlineStr">
        <is>
          <t>Source data: data/Northline_Sales_Data.xlsx (sales_data + Calendar sheets)</t>
        </is>
      </c>
    </row>
    <row r="15">
      <c r="B15" s="5" t="inlineStr">
        <is>
          <t>Headline KPIs (all periods)</t>
        </is>
      </c>
    </row>
    <row r="16">
      <c r="B16" s="7" t="inlineStr">
        <is>
          <t>Total Sales</t>
        </is>
      </c>
      <c r="C16" s="7" t="inlineStr">
        <is>
          <t>Total Quantity</t>
        </is>
      </c>
      <c r="D16" s="7" t="inlineStr">
        <is>
          <t>Transactions</t>
        </is>
      </c>
      <c r="E16" s="7" t="inlineStr">
        <is>
          <t>Avg Price / Unit</t>
        </is>
      </c>
    </row>
    <row r="17">
      <c r="B17" s="8" t="inlineStr">
        <is>
          <t>$4.0M</t>
        </is>
      </c>
      <c r="C17" s="8" t="inlineStr">
        <is>
          <t>404.1K</t>
        </is>
      </c>
      <c r="D17" s="8" t="inlineStr">
        <is>
          <t>4,000</t>
        </is>
      </c>
      <c r="E17" s="8" t="inlineStr">
        <is>
          <t>$9.93</t>
        </is>
      </c>
    </row>
    <row r="19">
      <c r="B19" s="9" t="inlineStr">
        <is>
          <t>Data window: 2022-01-03 → 2025-06-29</t>
        </is>
      </c>
    </row>
    <row r="20">
      <c r="B20" s="9" t="inlineStr">
        <is>
          <t>All figures are fictional sample data for portfolio demonstration.</t>
        </is>
      </c>
    </row>
  </sheetData>
  <mergeCells count="3">
    <mergeCell ref="B2:F2"/>
    <mergeCell ref="B3:F3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72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B2" s="10" t="inlineStr">
        <is>
          <t>Executive Sales Dashboard — Northline Consumer Products</t>
        </is>
      </c>
    </row>
    <row r="4">
      <c r="B4" s="5" t="inlineStr">
        <is>
          <t>KPI CARDS</t>
        </is>
      </c>
    </row>
    <row r="5">
      <c r="B5" s="7" t="inlineStr">
        <is>
          <t>Total Sales</t>
        </is>
      </c>
      <c r="C5" s="7" t="inlineStr">
        <is>
          <t>Total Quantity</t>
        </is>
      </c>
      <c r="D5" s="7" t="inlineStr">
        <is>
          <t>Transactions</t>
        </is>
      </c>
      <c r="E5" s="7" t="inlineStr">
        <is>
          <t>Avg Price</t>
        </is>
      </c>
    </row>
    <row r="6">
      <c r="B6" s="11" t="n">
        <v>4011323.55</v>
      </c>
      <c r="C6" s="12" t="n">
        <v>404117</v>
      </c>
      <c r="D6" s="12" t="n">
        <v>4000</v>
      </c>
      <c r="E6" s="13" t="n">
        <v>9.926144037494092</v>
      </c>
    </row>
    <row r="8">
      <c r="B8" s="5" t="inlineStr">
        <is>
          <t>Sales by Channel</t>
        </is>
      </c>
    </row>
    <row r="9">
      <c r="B9" s="14" t="inlineStr">
        <is>
          <t>Channel</t>
        </is>
      </c>
      <c r="C9" s="14" t="inlineStr">
        <is>
          <t>Sales $</t>
        </is>
      </c>
      <c r="D9" s="14" t="inlineStr">
        <is>
          <t>Units</t>
        </is>
      </c>
      <c r="E9" s="14" t="inlineStr">
        <is>
          <t>Txns</t>
        </is>
      </c>
    </row>
    <row r="10">
      <c r="B10" s="15" t="inlineStr">
        <is>
          <t>Grocery</t>
        </is>
      </c>
      <c r="C10" s="16" t="n">
        <v>1171894.92</v>
      </c>
      <c r="D10" s="17" t="n">
        <v>105319</v>
      </c>
      <c r="E10" s="17" t="n">
        <v>1280</v>
      </c>
    </row>
    <row r="11">
      <c r="B11" s="15" t="inlineStr">
        <is>
          <t>Mass</t>
        </is>
      </c>
      <c r="C11" s="16" t="n">
        <v>1139960.04</v>
      </c>
      <c r="D11" s="17" t="n">
        <v>118163</v>
      </c>
      <c r="E11" s="17" t="n">
        <v>940</v>
      </c>
    </row>
    <row r="12">
      <c r="B12" s="15" t="inlineStr">
        <is>
          <t>Club</t>
        </is>
      </c>
      <c r="C12" s="16" t="n">
        <v>1341759.38</v>
      </c>
      <c r="D12" s="17" t="n">
        <v>150159</v>
      </c>
      <c r="E12" s="17" t="n">
        <v>709</v>
      </c>
    </row>
    <row r="13">
      <c r="B13" s="15" t="inlineStr">
        <is>
          <t>E-comm</t>
        </is>
      </c>
      <c r="C13" s="16" t="n">
        <v>197388.44</v>
      </c>
      <c r="D13" s="17" t="n">
        <v>17159</v>
      </c>
      <c r="E13" s="17" t="n">
        <v>674</v>
      </c>
    </row>
    <row r="14">
      <c r="B14" s="15" t="inlineStr">
        <is>
          <t>Convenience</t>
        </is>
      </c>
      <c r="C14" s="16" t="n">
        <v>160320.77</v>
      </c>
      <c r="D14" s="17" t="n">
        <v>13317</v>
      </c>
      <c r="E14" s="17" t="n">
        <v>397</v>
      </c>
    </row>
    <row r="16">
      <c r="B16" s="5" t="inlineStr">
        <is>
          <t>Sales by Brand / Line</t>
        </is>
      </c>
    </row>
    <row r="17">
      <c r="B17" s="14" t="inlineStr">
        <is>
          <t>Brand</t>
        </is>
      </c>
      <c r="C17" s="14" t="inlineStr">
        <is>
          <t>Sales $</t>
        </is>
      </c>
      <c r="D17" s="14" t="inlineStr">
        <is>
          <t>Units</t>
        </is>
      </c>
      <c r="E17" s="14" t="inlineStr">
        <is>
          <t>Txns</t>
        </is>
      </c>
    </row>
    <row r="18">
      <c r="B18" s="18" t="inlineStr">
        <is>
          <t>Northline Core</t>
        </is>
      </c>
      <c r="C18" s="16" t="n">
        <v>1435151.55</v>
      </c>
      <c r="D18" s="17" t="n">
        <v>189290</v>
      </c>
      <c r="E18" s="17" t="n">
        <v>1873</v>
      </c>
    </row>
    <row r="19">
      <c r="B19" s="18" t="inlineStr">
        <is>
          <t>Northline Fresh</t>
        </is>
      </c>
      <c r="C19" s="16" t="n">
        <v>841854.12</v>
      </c>
      <c r="D19" s="17" t="n">
        <v>131716</v>
      </c>
      <c r="E19" s="17" t="n">
        <v>1263</v>
      </c>
    </row>
    <row r="20">
      <c r="B20" s="18" t="inlineStr">
        <is>
          <t>Northline Pro</t>
        </is>
      </c>
      <c r="C20" s="16" t="n">
        <v>1734317.88</v>
      </c>
      <c r="D20" s="17" t="n">
        <v>83111</v>
      </c>
      <c r="E20" s="17" t="n">
        <v>864</v>
      </c>
    </row>
    <row r="22">
      <c r="B22" s="5" t="inlineStr">
        <is>
          <t>Top 10 Products by Sales</t>
        </is>
      </c>
    </row>
    <row r="23">
      <c r="B23" s="14" t="inlineStr">
        <is>
          <t>Product</t>
        </is>
      </c>
      <c r="C23" s="14" t="inlineStr">
        <is>
          <t>Sales $</t>
        </is>
      </c>
      <c r="D23" s="14" t="inlineStr">
        <is>
          <t>Units</t>
        </is>
      </c>
    </row>
    <row r="24">
      <c r="B24" s="18" t="inlineStr">
        <is>
          <t>Kitchen Towel Roll Case</t>
        </is>
      </c>
      <c r="C24" s="16" t="n">
        <v>432028.25</v>
      </c>
      <c r="D24" s="17" t="n">
        <v>16215</v>
      </c>
    </row>
    <row r="25">
      <c r="B25" s="18" t="inlineStr">
        <is>
          <t>Floor Cleaner Concentrate</t>
        </is>
      </c>
      <c r="C25" s="16" t="n">
        <v>421848.23</v>
      </c>
      <c r="D25" s="17" t="n">
        <v>18775</v>
      </c>
    </row>
    <row r="26">
      <c r="B26" s="18" t="inlineStr">
        <is>
          <t>Industrial Sanitizer 64oz</t>
        </is>
      </c>
      <c r="C26" s="16" t="n">
        <v>324015.6</v>
      </c>
      <c r="D26" s="17" t="n">
        <v>15186</v>
      </c>
    </row>
    <row r="27">
      <c r="B27" s="18" t="inlineStr">
        <is>
          <t>Pro Degreaser Gallon</t>
        </is>
      </c>
      <c r="C27" s="16" t="n">
        <v>320330.76</v>
      </c>
      <c r="D27" s="17" t="n">
        <v>16899</v>
      </c>
    </row>
    <row r="28">
      <c r="B28" s="18" t="inlineStr">
        <is>
          <t>Laundry Detergent 50oz</t>
        </is>
      </c>
      <c r="C28" s="16" t="n">
        <v>318682.85</v>
      </c>
      <c r="D28" s="17" t="n">
        <v>29203</v>
      </c>
    </row>
    <row r="29">
      <c r="B29" s="18" t="inlineStr">
        <is>
          <t>Paper Towels 6-Pack</t>
        </is>
      </c>
      <c r="C29" s="16" t="n">
        <v>311911.87</v>
      </c>
      <c r="D29" s="17" t="n">
        <v>36797</v>
      </c>
    </row>
    <row r="30">
      <c r="B30" s="18" t="inlineStr">
        <is>
          <t>Trash Bags 45ct</t>
        </is>
      </c>
      <c r="C30" s="16" t="n">
        <v>284073.98</v>
      </c>
      <c r="D30" s="17" t="n">
        <v>28288</v>
      </c>
    </row>
    <row r="31">
      <c r="B31" s="18" t="inlineStr">
        <is>
          <t>Foodservice Wipes 200ct</t>
        </is>
      </c>
      <c r="C31" s="16" t="n">
        <v>236095.04</v>
      </c>
      <c r="D31" s="17" t="n">
        <v>16036</v>
      </c>
    </row>
    <row r="32">
      <c r="B32" s="18" t="inlineStr">
        <is>
          <t>Hand Soap Refill 32oz</t>
        </is>
      </c>
      <c r="C32" s="16" t="n">
        <v>219416.3</v>
      </c>
      <c r="D32" s="17" t="n">
        <v>35001</v>
      </c>
    </row>
    <row r="33">
      <c r="B33" s="18" t="inlineStr">
        <is>
          <t>Plant Protein Bar 4pk</t>
        </is>
      </c>
      <c r="C33" s="16" t="n">
        <v>183288.1</v>
      </c>
      <c r="D33" s="17" t="n">
        <v>22511</v>
      </c>
    </row>
    <row r="36">
      <c r="B36" s="5" t="inlineStr">
        <is>
          <t>Settlement Method Mix</t>
        </is>
      </c>
    </row>
    <row r="37">
      <c r="B37" s="14" t="inlineStr">
        <is>
          <t>Settlement</t>
        </is>
      </c>
      <c r="C37" s="14" t="inlineStr">
        <is>
          <t>Txns</t>
        </is>
      </c>
      <c r="D37" s="14" t="inlineStr">
        <is>
          <t>% of Txns</t>
        </is>
      </c>
    </row>
    <row r="38">
      <c r="B38" s="18" t="inlineStr">
        <is>
          <t>ACH / Net-30</t>
        </is>
      </c>
      <c r="C38" s="17" t="n">
        <v>1381</v>
      </c>
      <c r="D38" s="19" t="n">
        <v>0.34525</v>
      </c>
    </row>
    <row r="39">
      <c r="B39" s="18" t="inlineStr">
        <is>
          <t>ACH / Net-45</t>
        </is>
      </c>
      <c r="C39" s="17" t="n">
        <v>1017</v>
      </c>
      <c r="D39" s="19" t="n">
        <v>0.25425</v>
      </c>
    </row>
    <row r="40">
      <c r="B40" s="18" t="inlineStr">
        <is>
          <t>Portal Pay</t>
        </is>
      </c>
      <c r="C40" s="17" t="n">
        <v>626</v>
      </c>
      <c r="D40" s="19" t="n">
        <v>0.1565</v>
      </c>
    </row>
    <row r="41">
      <c r="B41" s="18" t="inlineStr">
        <is>
          <t>Credit Card</t>
        </is>
      </c>
      <c r="C41" s="17" t="n">
        <v>606</v>
      </c>
      <c r="D41" s="19" t="n">
        <v>0.1515</v>
      </c>
    </row>
    <row r="42">
      <c r="B42" s="18" t="inlineStr">
        <is>
          <t>Wire</t>
        </is>
      </c>
      <c r="C42" s="17" t="n">
        <v>370</v>
      </c>
      <c r="D42" s="19" t="n">
        <v>0.0925</v>
      </c>
    </row>
    <row r="45">
      <c r="B45" s="5" t="inlineStr">
        <is>
          <t>Top Cities by Units Sold</t>
        </is>
      </c>
    </row>
    <row r="46">
      <c r="B46" s="14" t="inlineStr">
        <is>
          <t>City</t>
        </is>
      </c>
      <c r="C46" s="14" t="inlineStr">
        <is>
          <t>Region</t>
        </is>
      </c>
      <c r="D46" s="14" t="inlineStr">
        <is>
          <t>Units</t>
        </is>
      </c>
      <c r="E46" s="14" t="inlineStr">
        <is>
          <t>Sales $</t>
        </is>
      </c>
    </row>
    <row r="47">
      <c r="B47" s="18" t="inlineStr">
        <is>
          <t>New York</t>
        </is>
      </c>
      <c r="C47" s="18" t="inlineStr">
        <is>
          <t>Northeast</t>
        </is>
      </c>
      <c r="D47" s="17" t="n">
        <v>39058</v>
      </c>
      <c r="E47" s="16" t="n">
        <v>390871.83</v>
      </c>
    </row>
    <row r="48">
      <c r="B48" s="18" t="inlineStr">
        <is>
          <t>Los Angeles</t>
        </is>
      </c>
      <c r="C48" s="18" t="inlineStr">
        <is>
          <t>West</t>
        </is>
      </c>
      <c r="D48" s="17" t="n">
        <v>38489</v>
      </c>
      <c r="E48" s="16" t="n">
        <v>374264.85</v>
      </c>
    </row>
    <row r="49">
      <c r="B49" s="18" t="inlineStr">
        <is>
          <t>Chicago</t>
        </is>
      </c>
      <c r="C49" s="18" t="inlineStr">
        <is>
          <t>Midwest</t>
        </is>
      </c>
      <c r="D49" s="17" t="n">
        <v>38285</v>
      </c>
      <c r="E49" s="16" t="n">
        <v>360621.26</v>
      </c>
    </row>
    <row r="50">
      <c r="B50" s="18" t="inlineStr">
        <is>
          <t>Atlanta</t>
        </is>
      </c>
      <c r="C50" s="18" t="inlineStr">
        <is>
          <t>South</t>
        </is>
      </c>
      <c r="D50" s="17" t="n">
        <v>30244</v>
      </c>
      <c r="E50" s="16" t="n">
        <v>290282.62</v>
      </c>
    </row>
    <row r="51">
      <c r="B51" s="18" t="inlineStr">
        <is>
          <t>Dallas</t>
        </is>
      </c>
      <c r="C51" s="18" t="inlineStr">
        <is>
          <t>South</t>
        </is>
      </c>
      <c r="D51" s="17" t="n">
        <v>29372</v>
      </c>
      <c r="E51" s="16" t="n">
        <v>303174.68</v>
      </c>
    </row>
    <row r="52">
      <c r="B52" s="18" t="inlineStr">
        <is>
          <t>Houston</t>
        </is>
      </c>
      <c r="C52" s="18" t="inlineStr">
        <is>
          <t>South</t>
        </is>
      </c>
      <c r="D52" s="17" t="n">
        <v>27631</v>
      </c>
      <c r="E52" s="16" t="n">
        <v>296384.64</v>
      </c>
    </row>
    <row r="53">
      <c r="B53" s="18" t="inlineStr">
        <is>
          <t>Philadelphia</t>
        </is>
      </c>
      <c r="C53" s="18" t="inlineStr">
        <is>
          <t>Northeast</t>
        </is>
      </c>
      <c r="D53" s="17" t="n">
        <v>27183</v>
      </c>
      <c r="E53" s="16" t="n">
        <v>253769.41</v>
      </c>
    </row>
    <row r="54">
      <c r="B54" s="18" t="inlineStr">
        <is>
          <t>Boston</t>
        </is>
      </c>
      <c r="C54" s="18" t="inlineStr">
        <is>
          <t>Northeast</t>
        </is>
      </c>
      <c r="D54" s="17" t="n">
        <v>24945</v>
      </c>
      <c r="E54" s="16" t="n">
        <v>266110.69</v>
      </c>
    </row>
    <row r="55">
      <c r="B55" s="18" t="inlineStr">
        <is>
          <t>San Francisco</t>
        </is>
      </c>
      <c r="C55" s="18" t="inlineStr">
        <is>
          <t>West</t>
        </is>
      </c>
      <c r="D55" s="17" t="n">
        <v>22885</v>
      </c>
      <c r="E55" s="16" t="n">
        <v>229256.83</v>
      </c>
    </row>
    <row r="56">
      <c r="B56" s="18" t="inlineStr">
        <is>
          <t>Seattle</t>
        </is>
      </c>
      <c r="C56" s="18" t="inlineStr">
        <is>
          <t>West</t>
        </is>
      </c>
      <c r="D56" s="17" t="n">
        <v>22806</v>
      </c>
      <c r="E56" s="16" t="n">
        <v>229131.31</v>
      </c>
    </row>
    <row r="59">
      <c r="B59" s="5" t="inlineStr">
        <is>
          <t>Customer Rating / NPS Bucket</t>
        </is>
      </c>
    </row>
    <row r="60">
      <c r="B60" s="14" t="inlineStr">
        <is>
          <t>Rating</t>
        </is>
      </c>
      <c r="C60" s="14" t="inlineStr">
        <is>
          <t>Txns</t>
        </is>
      </c>
      <c r="D60" s="14" t="inlineStr">
        <is>
          <t>% of Txns</t>
        </is>
      </c>
    </row>
    <row r="61">
      <c r="B61" s="18" t="inlineStr">
        <is>
          <t>Promoter (9-10)</t>
        </is>
      </c>
      <c r="C61" s="17" t="n">
        <v>1918</v>
      </c>
      <c r="D61" s="19" t="n">
        <v>0.4795</v>
      </c>
    </row>
    <row r="62">
      <c r="B62" s="18" t="inlineStr">
        <is>
          <t>Passive (7-8)</t>
        </is>
      </c>
      <c r="C62" s="17" t="n">
        <v>1288</v>
      </c>
      <c r="D62" s="19" t="n">
        <v>0.322</v>
      </c>
    </row>
    <row r="63">
      <c r="B63" s="18" t="inlineStr">
        <is>
          <t>Detractor (0-6)</t>
        </is>
      </c>
      <c r="C63" s="17" t="n">
        <v>794</v>
      </c>
      <c r="D63" s="19" t="n">
        <v>0.1985</v>
      </c>
    </row>
    <row r="66">
      <c r="B66" s="5" t="inlineStr">
        <is>
          <t>Sales by Order Type</t>
        </is>
      </c>
    </row>
    <row r="67">
      <c r="B67" s="14" t="inlineStr">
        <is>
          <t>Order Type</t>
        </is>
      </c>
      <c r="C67" s="14" t="inlineStr">
        <is>
          <t>Sales $</t>
        </is>
      </c>
      <c r="D67" s="14" t="inlineStr">
        <is>
          <t>Txns</t>
        </is>
      </c>
    </row>
    <row r="68">
      <c r="B68" s="18" t="inlineStr">
        <is>
          <t>Wholesale</t>
        </is>
      </c>
      <c r="C68" s="16" t="n">
        <v>2597760.64</v>
      </c>
      <c r="D68" s="17" t="n">
        <v>2042</v>
      </c>
    </row>
    <row r="69">
      <c r="B69" s="18" t="inlineStr">
        <is>
          <t>DSD</t>
        </is>
      </c>
      <c r="C69" s="16" t="n">
        <v>1216174.47</v>
      </c>
      <c r="D69" s="17" t="n">
        <v>1284</v>
      </c>
    </row>
    <row r="70">
      <c r="B70" s="18" t="inlineStr">
        <is>
          <t>E-comm</t>
        </is>
      </c>
      <c r="C70" s="16" t="n">
        <v>197388.44</v>
      </c>
      <c r="D70" s="17" t="n">
        <v>674</v>
      </c>
    </row>
    <row r="72">
      <c r="B72" s="20" t="inlineStr">
        <is>
          <t>Note: In Power BI, use slicers on Channel, Brand, Product, Settlement Method, and City.</t>
        </is>
      </c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1250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0" t="inlineStr">
        <is>
          <t>Month-to-Date (MTD) — Daily Cumulative Sales</t>
        </is>
      </c>
    </row>
    <row r="4">
      <c r="B4" s="5" t="inlineStr">
        <is>
          <t>FILTER INPUTS (yellow)</t>
        </is>
      </c>
    </row>
    <row r="5">
      <c r="B5" t="inlineStr">
        <is>
          <t>Year</t>
        </is>
      </c>
      <c r="C5" s="21" t="n">
        <v>2025</v>
      </c>
      <c r="D5" s="20" t="inlineStr">
        <is>
          <t>← change these yellow cells to filter MTD view</t>
        </is>
      </c>
    </row>
    <row r="6">
      <c r="B6" t="inlineStr">
        <is>
          <t>Month (1-12)</t>
        </is>
      </c>
      <c r="C6" s="21" t="n">
        <v>6</v>
      </c>
    </row>
    <row r="8">
      <c r="B8" s="5" t="inlineStr">
        <is>
          <t>MTD KPIs (for Year/Month above — uses SUMIFS on cache)</t>
        </is>
      </c>
    </row>
    <row r="9">
      <c r="B9" t="inlineStr">
        <is>
          <t>MTD Sales</t>
        </is>
      </c>
      <c r="C9" s="22">
        <f>SUMIFS($C$40:$C$5000,$A$40:$A$5000,$C$5,$B$40:$B$5000,$C$6)</f>
        <v/>
      </c>
    </row>
    <row r="10">
      <c r="B10" t="inlineStr">
        <is>
          <t>Days with Sales</t>
        </is>
      </c>
      <c r="C10" s="15">
        <f>COUNTIFS($A$40:$A$5000,$C$5,$B$40:$B$5000,$C$6)</f>
        <v/>
      </c>
    </row>
    <row r="11">
      <c r="B11" t="inlineStr">
        <is>
          <t>Avg Daily Sales</t>
        </is>
      </c>
      <c r="C11" s="22">
        <f>IF(C10=0,0,C9/C10)</f>
        <v/>
      </c>
    </row>
    <row r="13">
      <c r="B13" s="5" t="inlineStr">
        <is>
          <t>Daily Sales + Cumulative (filtered by Year/Month inputs)</t>
        </is>
      </c>
    </row>
    <row r="14">
      <c r="B14" s="14" t="inlineStr">
        <is>
          <t>Day</t>
        </is>
      </c>
      <c r="C14" s="14" t="inlineStr">
        <is>
          <t>Sales $</t>
        </is>
      </c>
      <c r="D14" s="14" t="inlineStr">
        <is>
          <t>Cumulative MTD</t>
        </is>
      </c>
    </row>
    <row r="15">
      <c r="B15" s="18" t="n">
        <v>1</v>
      </c>
      <c r="C15" s="22">
        <f>IFERROR(SUMIFS($C$40:$C$5000,$A$40:$A$5000,$C$5,$B$40:$B$5000,$C$6,$D$40:$D$5000,B15),0)</f>
        <v/>
      </c>
      <c r="D15" s="22">
        <f>C15</f>
        <v/>
      </c>
    </row>
    <row r="16">
      <c r="B16" s="18" t="n">
        <v>2</v>
      </c>
      <c r="C16" s="22">
        <f>IFERROR(SUMIFS($C$40:$C$5000,$A$40:$A$5000,$C$5,$B$40:$B$5000,$C$6,$D$40:$D$5000,B16),0)</f>
        <v/>
      </c>
      <c r="D16" s="22">
        <f>D15+C16</f>
        <v/>
      </c>
    </row>
    <row r="17">
      <c r="B17" s="18" t="n">
        <v>3</v>
      </c>
      <c r="C17" s="22">
        <f>IFERROR(SUMIFS($C$40:$C$5000,$A$40:$A$5000,$C$5,$B$40:$B$5000,$C$6,$D$40:$D$5000,B17),0)</f>
        <v/>
      </c>
      <c r="D17" s="22">
        <f>D16+C17</f>
        <v/>
      </c>
    </row>
    <row r="18">
      <c r="B18" s="18" t="n">
        <v>4</v>
      </c>
      <c r="C18" s="22">
        <f>IFERROR(SUMIFS($C$40:$C$5000,$A$40:$A$5000,$C$5,$B$40:$B$5000,$C$6,$D$40:$D$5000,B18),0)</f>
        <v/>
      </c>
      <c r="D18" s="22">
        <f>D17+C18</f>
        <v/>
      </c>
    </row>
    <row r="19">
      <c r="B19" s="18" t="n">
        <v>5</v>
      </c>
      <c r="C19" s="22">
        <f>IFERROR(SUMIFS($C$40:$C$5000,$A$40:$A$5000,$C$5,$B$40:$B$5000,$C$6,$D$40:$D$5000,B19),0)</f>
        <v/>
      </c>
      <c r="D19" s="22">
        <f>D18+C19</f>
        <v/>
      </c>
    </row>
    <row r="20">
      <c r="B20" s="18" t="n">
        <v>6</v>
      </c>
      <c r="C20" s="22">
        <f>IFERROR(SUMIFS($C$40:$C$5000,$A$40:$A$5000,$C$5,$B$40:$B$5000,$C$6,$D$40:$D$5000,B20),0)</f>
        <v/>
      </c>
      <c r="D20" s="22">
        <f>D19+C20</f>
        <v/>
      </c>
    </row>
    <row r="21">
      <c r="B21" s="18" t="n">
        <v>7</v>
      </c>
      <c r="C21" s="22">
        <f>IFERROR(SUMIFS($C$40:$C$5000,$A$40:$A$5000,$C$5,$B$40:$B$5000,$C$6,$D$40:$D$5000,B21),0)</f>
        <v/>
      </c>
      <c r="D21" s="22">
        <f>D20+C21</f>
        <v/>
      </c>
    </row>
    <row r="22">
      <c r="B22" s="18" t="n">
        <v>8</v>
      </c>
      <c r="C22" s="22">
        <f>IFERROR(SUMIFS($C$40:$C$5000,$A$40:$A$5000,$C$5,$B$40:$B$5000,$C$6,$D$40:$D$5000,B22),0)</f>
        <v/>
      </c>
      <c r="D22" s="22">
        <f>D21+C22</f>
        <v/>
      </c>
    </row>
    <row r="23">
      <c r="B23" s="18" t="n">
        <v>9</v>
      </c>
      <c r="C23" s="22">
        <f>IFERROR(SUMIFS($C$40:$C$5000,$A$40:$A$5000,$C$5,$B$40:$B$5000,$C$6,$D$40:$D$5000,B23),0)</f>
        <v/>
      </c>
      <c r="D23" s="22">
        <f>D22+C23</f>
        <v/>
      </c>
    </row>
    <row r="24">
      <c r="B24" s="18" t="n">
        <v>10</v>
      </c>
      <c r="C24" s="22">
        <f>IFERROR(SUMIFS($C$40:$C$5000,$A$40:$A$5000,$C$5,$B$40:$B$5000,$C$6,$D$40:$D$5000,B24),0)</f>
        <v/>
      </c>
      <c r="D24" s="22">
        <f>D23+C24</f>
        <v/>
      </c>
    </row>
    <row r="25">
      <c r="B25" s="18" t="n">
        <v>11</v>
      </c>
      <c r="C25" s="22">
        <f>IFERROR(SUMIFS($C$40:$C$5000,$A$40:$A$5000,$C$5,$B$40:$B$5000,$C$6,$D$40:$D$5000,B25),0)</f>
        <v/>
      </c>
      <c r="D25" s="22">
        <f>D24+C25</f>
        <v/>
      </c>
    </row>
    <row r="26">
      <c r="B26" s="18" t="n">
        <v>12</v>
      </c>
      <c r="C26" s="22">
        <f>IFERROR(SUMIFS($C$40:$C$5000,$A$40:$A$5000,$C$5,$B$40:$B$5000,$C$6,$D$40:$D$5000,B26),0)</f>
        <v/>
      </c>
      <c r="D26" s="22">
        <f>D25+C26</f>
        <v/>
      </c>
    </row>
    <row r="27">
      <c r="B27" s="18" t="n">
        <v>13</v>
      </c>
      <c r="C27" s="22">
        <f>IFERROR(SUMIFS($C$40:$C$5000,$A$40:$A$5000,$C$5,$B$40:$B$5000,$C$6,$D$40:$D$5000,B27),0)</f>
        <v/>
      </c>
      <c r="D27" s="22">
        <f>D26+C27</f>
        <v/>
      </c>
    </row>
    <row r="28">
      <c r="B28" s="18" t="n">
        <v>14</v>
      </c>
      <c r="C28" s="22">
        <f>IFERROR(SUMIFS($C$40:$C$5000,$A$40:$A$5000,$C$5,$B$40:$B$5000,$C$6,$D$40:$D$5000,B28),0)</f>
        <v/>
      </c>
      <c r="D28" s="22">
        <f>D27+C28</f>
        <v/>
      </c>
    </row>
    <row r="29">
      <c r="B29" s="18" t="n">
        <v>15</v>
      </c>
      <c r="C29" s="22">
        <f>IFERROR(SUMIFS($C$40:$C$5000,$A$40:$A$5000,$C$5,$B$40:$B$5000,$C$6,$D$40:$D$5000,B29),0)</f>
        <v/>
      </c>
      <c r="D29" s="22">
        <f>D28+C29</f>
        <v/>
      </c>
    </row>
    <row r="30">
      <c r="B30" s="18" t="n">
        <v>16</v>
      </c>
      <c r="C30" s="22">
        <f>IFERROR(SUMIFS($C$40:$C$5000,$A$40:$A$5000,$C$5,$B$40:$B$5000,$C$6,$D$40:$D$5000,B30),0)</f>
        <v/>
      </c>
      <c r="D30" s="22">
        <f>D29+C30</f>
        <v/>
      </c>
    </row>
    <row r="31">
      <c r="B31" s="18" t="n">
        <v>17</v>
      </c>
      <c r="C31" s="22">
        <f>IFERROR(SUMIFS($C$40:$C$5000,$A$40:$A$5000,$C$5,$B$40:$B$5000,$C$6,$D$40:$D$5000,B31),0)</f>
        <v/>
      </c>
      <c r="D31" s="22">
        <f>D30+C31</f>
        <v/>
      </c>
    </row>
    <row r="32">
      <c r="B32" s="18" t="n">
        <v>18</v>
      </c>
      <c r="C32" s="22">
        <f>IFERROR(SUMIFS($C$40:$C$5000,$A$40:$A$5000,$C$5,$B$40:$B$5000,$C$6,$D$40:$D$5000,B32),0)</f>
        <v/>
      </c>
      <c r="D32" s="22">
        <f>D31+C32</f>
        <v/>
      </c>
    </row>
    <row r="33">
      <c r="B33" s="18" t="n">
        <v>19</v>
      </c>
      <c r="C33" s="22">
        <f>IFERROR(SUMIFS($C$40:$C$5000,$A$40:$A$5000,$C$5,$B$40:$B$5000,$C$6,$D$40:$D$5000,B33),0)</f>
        <v/>
      </c>
      <c r="D33" s="22">
        <f>D32+C33</f>
        <v/>
      </c>
    </row>
    <row r="34">
      <c r="B34" s="18" t="n">
        <v>20</v>
      </c>
      <c r="C34" s="22">
        <f>IFERROR(SUMIFS($C$40:$C$5000,$A$40:$A$5000,$C$5,$B$40:$B$5000,$C$6,$D$40:$D$5000,B34),0)</f>
        <v/>
      </c>
      <c r="D34" s="22">
        <f>D33+C34</f>
        <v/>
      </c>
    </row>
    <row r="35">
      <c r="B35" s="18" t="n">
        <v>21</v>
      </c>
      <c r="C35" s="22">
        <f>IFERROR(SUMIFS($C$40:$C$5000,$A$40:$A$5000,$C$5,$B$40:$B$5000,$C$6,$D$40:$D$5000,B35),0)</f>
        <v/>
      </c>
      <c r="D35" s="22">
        <f>D34+C35</f>
        <v/>
      </c>
    </row>
    <row r="36">
      <c r="B36" s="18" t="n">
        <v>22</v>
      </c>
      <c r="C36" s="22">
        <f>IFERROR(SUMIFS($C$40:$C$5000,$A$40:$A$5000,$C$5,$B$40:$B$5000,$C$6,$D$40:$D$5000,B36),0)</f>
        <v/>
      </c>
      <c r="D36" s="22">
        <f>D35+C36</f>
        <v/>
      </c>
    </row>
    <row r="37">
      <c r="B37" s="18" t="n">
        <v>23</v>
      </c>
      <c r="C37" s="22">
        <f>IFERROR(SUMIFS($C$40:$C$5000,$A$40:$A$5000,$C$5,$B$40:$B$5000,$C$6,$D$40:$D$5000,B37),0)</f>
        <v/>
      </c>
      <c r="D37" s="22">
        <f>D36+C37</f>
        <v/>
      </c>
    </row>
    <row r="38">
      <c r="B38" s="18" t="n">
        <v>24</v>
      </c>
      <c r="C38" s="22">
        <f>IFERROR(SUMIFS($C$40:$C$5000,$A$40:$A$5000,$C$5,$B$40:$B$5000,$C$6,$D$40:$D$5000,B38),0)</f>
        <v/>
      </c>
      <c r="D38" s="22">
        <f>D37+C38</f>
        <v/>
      </c>
    </row>
    <row r="39">
      <c r="A39" s="14" t="inlineStr">
        <is>
          <t>Year</t>
        </is>
      </c>
      <c r="B39" s="14" t="inlineStr">
        <is>
          <t>Month</t>
        </is>
      </c>
      <c r="C39" s="23" t="inlineStr">
        <is>
          <t>Sales</t>
        </is>
      </c>
      <c r="D39" s="23" t="inlineStr">
        <is>
          <t>Day</t>
        </is>
      </c>
    </row>
    <row r="40">
      <c r="A40" t="n">
        <v>2022</v>
      </c>
      <c r="B40" s="18" t="n">
        <v>1</v>
      </c>
      <c r="C40" s="22" t="n">
        <v>2231.7</v>
      </c>
      <c r="D40" s="22" t="n">
        <v>3</v>
      </c>
    </row>
    <row r="41">
      <c r="A41" t="n">
        <v>2022</v>
      </c>
      <c r="B41" s="18" t="n">
        <v>1</v>
      </c>
      <c r="C41" s="22" t="n">
        <v>77.09999999999999</v>
      </c>
      <c r="D41" s="22" t="n">
        <v>4</v>
      </c>
    </row>
    <row r="42">
      <c r="A42" t="n">
        <v>2022</v>
      </c>
      <c r="B42" s="18" t="n">
        <v>1</v>
      </c>
      <c r="C42" s="22" t="n">
        <v>215.2</v>
      </c>
      <c r="D42" s="22" t="n">
        <v>5</v>
      </c>
    </row>
    <row r="43">
      <c r="A43" t="n">
        <v>2022</v>
      </c>
      <c r="B43" s="18" t="n">
        <v>1</v>
      </c>
      <c r="C43" s="22" t="n">
        <v>986.85</v>
      </c>
      <c r="D43" s="22" t="n">
        <v>6</v>
      </c>
    </row>
    <row r="44">
      <c r="A44" t="n">
        <v>2022</v>
      </c>
      <c r="B44" s="18" t="n">
        <v>1</v>
      </c>
      <c r="C44" s="22" t="n">
        <v>375.24</v>
      </c>
      <c r="D44" s="22" t="n">
        <v>7</v>
      </c>
    </row>
    <row r="45">
      <c r="A45" t="n">
        <v>2022</v>
      </c>
      <c r="B45" s="18" t="n">
        <v>1</v>
      </c>
      <c r="C45" s="22" t="n">
        <v>3520.82</v>
      </c>
      <c r="D45" s="22" t="n">
        <v>8</v>
      </c>
    </row>
    <row r="46">
      <c r="A46" t="n">
        <v>2022</v>
      </c>
      <c r="B46" t="n">
        <v>1</v>
      </c>
      <c r="C46" s="24" t="n">
        <v>985.9300000000001</v>
      </c>
      <c r="D46" t="n">
        <v>11</v>
      </c>
    </row>
    <row r="47">
      <c r="A47" t="n">
        <v>2022</v>
      </c>
      <c r="B47" t="n">
        <v>1</v>
      </c>
      <c r="C47" s="24" t="n">
        <v>273</v>
      </c>
      <c r="D47" t="n">
        <v>13</v>
      </c>
    </row>
    <row r="48">
      <c r="A48" t="n">
        <v>2022</v>
      </c>
      <c r="B48" s="20" t="inlineStr">
        <is>
          <t>How to use: set Year and Month in the yellow cells. Daily sales, cumulative MTD, and KPIs update via SUMIFS. In Power BI, replace this with TOTALMTD([Total_Sales], Calendar[Date]) and a month slicer.</t>
        </is>
      </c>
    </row>
    <row r="49">
      <c r="A49" t="n">
        <v>2022</v>
      </c>
      <c r="B49" t="n">
        <v>1</v>
      </c>
      <c r="C49" s="24" t="n">
        <v>2808.78</v>
      </c>
      <c r="D49" t="n">
        <v>15</v>
      </c>
    </row>
    <row r="50">
      <c r="A50" t="n">
        <v>2022</v>
      </c>
      <c r="B50" t="n">
        <v>1</v>
      </c>
      <c r="C50" s="24" t="n">
        <v>4637.219999999999</v>
      </c>
      <c r="D50" t="n">
        <v>16</v>
      </c>
    </row>
    <row r="51">
      <c r="A51" t="n">
        <v>2022</v>
      </c>
      <c r="B51" t="n">
        <v>1</v>
      </c>
      <c r="C51" s="24" t="n">
        <v>7991.190000000001</v>
      </c>
      <c r="D51" t="n">
        <v>17</v>
      </c>
    </row>
    <row r="52">
      <c r="A52" t="n">
        <v>2022</v>
      </c>
      <c r="B52" t="n">
        <v>1</v>
      </c>
      <c r="C52" s="24" t="n">
        <v>1895.03</v>
      </c>
      <c r="D52" t="n">
        <v>18</v>
      </c>
    </row>
    <row r="53">
      <c r="A53" t="n">
        <v>2022</v>
      </c>
      <c r="B53" t="n">
        <v>1</v>
      </c>
      <c r="C53" s="24" t="n">
        <v>5602.03</v>
      </c>
      <c r="D53" t="n">
        <v>19</v>
      </c>
    </row>
    <row r="54">
      <c r="A54" t="n">
        <v>2022</v>
      </c>
      <c r="B54" t="n">
        <v>1</v>
      </c>
      <c r="C54" s="24" t="n">
        <v>1827.1</v>
      </c>
      <c r="D54" t="n">
        <v>20</v>
      </c>
    </row>
    <row r="55">
      <c r="A55" t="n">
        <v>2022</v>
      </c>
      <c r="B55" t="n">
        <v>1</v>
      </c>
      <c r="C55" s="24" t="n">
        <v>448.56</v>
      </c>
      <c r="D55" t="n">
        <v>21</v>
      </c>
    </row>
    <row r="56">
      <c r="A56" t="n">
        <v>2022</v>
      </c>
      <c r="B56" t="n">
        <v>1</v>
      </c>
      <c r="C56" s="24" t="n">
        <v>1380.65</v>
      </c>
      <c r="D56" t="n">
        <v>22</v>
      </c>
    </row>
    <row r="57">
      <c r="A57" t="n">
        <v>2022</v>
      </c>
      <c r="B57" t="n">
        <v>1</v>
      </c>
      <c r="C57" s="24" t="n">
        <v>1126.8</v>
      </c>
      <c r="D57" t="n">
        <v>23</v>
      </c>
    </row>
    <row r="58">
      <c r="A58" t="n">
        <v>2022</v>
      </c>
      <c r="B58" t="n">
        <v>1</v>
      </c>
      <c r="C58" s="24" t="n">
        <v>6859.39</v>
      </c>
      <c r="D58" t="n">
        <v>24</v>
      </c>
    </row>
    <row r="59">
      <c r="A59" t="n">
        <v>2022</v>
      </c>
      <c r="B59" t="n">
        <v>1</v>
      </c>
      <c r="C59" s="24" t="n">
        <v>7119.03</v>
      </c>
      <c r="D59" t="n">
        <v>25</v>
      </c>
    </row>
    <row r="60">
      <c r="A60" t="n">
        <v>2022</v>
      </c>
      <c r="B60" t="n">
        <v>1</v>
      </c>
      <c r="C60" s="24" t="n">
        <v>2274.67</v>
      </c>
      <c r="D60" t="n">
        <v>27</v>
      </c>
    </row>
    <row r="61">
      <c r="A61" t="n">
        <v>2022</v>
      </c>
      <c r="B61" t="n">
        <v>1</v>
      </c>
      <c r="C61" s="24" t="n">
        <v>3616.96</v>
      </c>
      <c r="D61" t="n">
        <v>28</v>
      </c>
    </row>
    <row r="62">
      <c r="A62" t="n">
        <v>2022</v>
      </c>
      <c r="B62" t="n">
        <v>1</v>
      </c>
      <c r="C62" s="24" t="n">
        <v>1627.59</v>
      </c>
      <c r="D62" t="n">
        <v>29</v>
      </c>
    </row>
    <row r="63">
      <c r="A63" t="n">
        <v>2022</v>
      </c>
      <c r="B63" t="n">
        <v>1</v>
      </c>
      <c r="C63" s="24" t="n">
        <v>204.24</v>
      </c>
      <c r="D63" t="n">
        <v>30</v>
      </c>
    </row>
    <row r="64">
      <c r="A64" t="n">
        <v>2022</v>
      </c>
      <c r="B64" t="n">
        <v>1</v>
      </c>
      <c r="C64" s="24" t="n">
        <v>2104.4</v>
      </c>
      <c r="D64" t="n">
        <v>31</v>
      </c>
    </row>
    <row r="65">
      <c r="A65" t="n">
        <v>2022</v>
      </c>
      <c r="B65" t="n">
        <v>2</v>
      </c>
      <c r="C65" s="24" t="n">
        <v>950.7</v>
      </c>
      <c r="D65" t="n">
        <v>1</v>
      </c>
    </row>
    <row r="66">
      <c r="A66" t="n">
        <v>2022</v>
      </c>
      <c r="B66" t="n">
        <v>2</v>
      </c>
      <c r="C66" s="24" t="n">
        <v>306.18</v>
      </c>
      <c r="D66" t="n">
        <v>2</v>
      </c>
    </row>
    <row r="67">
      <c r="A67" t="n">
        <v>2022</v>
      </c>
      <c r="B67" t="n">
        <v>2</v>
      </c>
      <c r="C67" s="24" t="n">
        <v>2071.32</v>
      </c>
      <c r="D67" t="n">
        <v>3</v>
      </c>
    </row>
    <row r="68">
      <c r="A68" t="n">
        <v>2022</v>
      </c>
      <c r="B68" t="n">
        <v>2</v>
      </c>
      <c r="C68" s="24" t="n">
        <v>173.45</v>
      </c>
      <c r="D68" t="n">
        <v>4</v>
      </c>
    </row>
    <row r="69">
      <c r="A69" t="n">
        <v>2022</v>
      </c>
      <c r="B69" t="n">
        <v>2</v>
      </c>
      <c r="C69" s="24" t="n">
        <v>1723.59</v>
      </c>
      <c r="D69" t="n">
        <v>5</v>
      </c>
    </row>
    <row r="70">
      <c r="A70" t="n">
        <v>2022</v>
      </c>
      <c r="B70" t="n">
        <v>2</v>
      </c>
      <c r="C70" s="24" t="n">
        <v>2119.93</v>
      </c>
      <c r="D70" t="n">
        <v>6</v>
      </c>
    </row>
    <row r="71">
      <c r="A71" t="n">
        <v>2022</v>
      </c>
      <c r="B71" t="n">
        <v>2</v>
      </c>
      <c r="C71" s="24" t="n">
        <v>1773.2</v>
      </c>
      <c r="D71" t="n">
        <v>7</v>
      </c>
    </row>
    <row r="72">
      <c r="A72" t="n">
        <v>2022</v>
      </c>
      <c r="B72" t="n">
        <v>2</v>
      </c>
      <c r="C72" s="24" t="n">
        <v>1650.14</v>
      </c>
      <c r="D72" t="n">
        <v>8</v>
      </c>
    </row>
    <row r="73">
      <c r="A73" t="n">
        <v>2022</v>
      </c>
      <c r="B73" t="n">
        <v>2</v>
      </c>
      <c r="C73" s="24" t="n">
        <v>2317.68</v>
      </c>
      <c r="D73" t="n">
        <v>9</v>
      </c>
    </row>
    <row r="74">
      <c r="A74" t="n">
        <v>2022</v>
      </c>
      <c r="B74" t="n">
        <v>2</v>
      </c>
      <c r="C74" s="24" t="n">
        <v>454.74</v>
      </c>
      <c r="D74" t="n">
        <v>10</v>
      </c>
    </row>
    <row r="75">
      <c r="A75" t="n">
        <v>2022</v>
      </c>
      <c r="B75" t="n">
        <v>2</v>
      </c>
      <c r="C75" s="24" t="n">
        <v>1813.48</v>
      </c>
      <c r="D75" t="n">
        <v>11</v>
      </c>
    </row>
    <row r="76">
      <c r="A76" t="n">
        <v>2022</v>
      </c>
      <c r="B76" t="n">
        <v>2</v>
      </c>
      <c r="C76" s="24" t="n">
        <v>1166.12</v>
      </c>
      <c r="D76" t="n">
        <v>12</v>
      </c>
    </row>
    <row r="77">
      <c r="A77" t="n">
        <v>2022</v>
      </c>
      <c r="B77" t="n">
        <v>2</v>
      </c>
      <c r="C77" s="24" t="n">
        <v>4309.26</v>
      </c>
      <c r="D77" t="n">
        <v>13</v>
      </c>
    </row>
    <row r="78">
      <c r="A78" t="n">
        <v>2022</v>
      </c>
      <c r="B78" t="n">
        <v>2</v>
      </c>
      <c r="C78" s="24" t="n">
        <v>851.98</v>
      </c>
      <c r="D78" t="n">
        <v>14</v>
      </c>
    </row>
    <row r="79">
      <c r="A79" t="n">
        <v>2022</v>
      </c>
      <c r="B79" t="n">
        <v>2</v>
      </c>
      <c r="C79" s="24" t="n">
        <v>8779.84</v>
      </c>
      <c r="D79" t="n">
        <v>15</v>
      </c>
    </row>
    <row r="80">
      <c r="A80" t="n">
        <v>2022</v>
      </c>
      <c r="B80" t="n">
        <v>2</v>
      </c>
      <c r="C80" s="24" t="n">
        <v>2143.5</v>
      </c>
      <c r="D80" t="n">
        <v>16</v>
      </c>
    </row>
    <row r="81">
      <c r="A81" t="n">
        <v>2022</v>
      </c>
      <c r="B81" t="n">
        <v>2</v>
      </c>
      <c r="C81" s="24" t="n">
        <v>440.89</v>
      </c>
      <c r="D81" t="n">
        <v>18</v>
      </c>
    </row>
    <row r="82">
      <c r="A82" t="n">
        <v>2022</v>
      </c>
      <c r="B82" t="n">
        <v>2</v>
      </c>
      <c r="C82" s="24" t="n">
        <v>444</v>
      </c>
      <c r="D82" t="n">
        <v>19</v>
      </c>
    </row>
    <row r="83">
      <c r="A83" t="n">
        <v>2022</v>
      </c>
      <c r="B83" t="n">
        <v>2</v>
      </c>
      <c r="C83" s="24" t="n">
        <v>2024.71</v>
      </c>
      <c r="D83" t="n">
        <v>21</v>
      </c>
    </row>
    <row r="84">
      <c r="A84" t="n">
        <v>2022</v>
      </c>
      <c r="B84" t="n">
        <v>2</v>
      </c>
      <c r="C84" s="24" t="n">
        <v>1197.84</v>
      </c>
      <c r="D84" t="n">
        <v>23</v>
      </c>
    </row>
    <row r="85">
      <c r="A85" t="n">
        <v>2022</v>
      </c>
      <c r="B85" t="n">
        <v>2</v>
      </c>
      <c r="C85" s="24" t="n">
        <v>2182.68</v>
      </c>
      <c r="D85" t="n">
        <v>24</v>
      </c>
    </row>
    <row r="86">
      <c r="A86" t="n">
        <v>2022</v>
      </c>
      <c r="B86" t="n">
        <v>2</v>
      </c>
      <c r="C86" s="24" t="n">
        <v>2531.55</v>
      </c>
      <c r="D86" t="n">
        <v>25</v>
      </c>
    </row>
    <row r="87">
      <c r="A87" t="n">
        <v>2022</v>
      </c>
      <c r="B87" t="n">
        <v>2</v>
      </c>
      <c r="C87" s="24" t="n">
        <v>244.47</v>
      </c>
      <c r="D87" t="n">
        <v>26</v>
      </c>
    </row>
    <row r="88">
      <c r="A88" t="n">
        <v>2022</v>
      </c>
      <c r="B88" t="n">
        <v>2</v>
      </c>
      <c r="C88" s="24" t="n">
        <v>678.3</v>
      </c>
      <c r="D88" t="n">
        <v>28</v>
      </c>
    </row>
    <row r="89">
      <c r="A89" t="n">
        <v>2022</v>
      </c>
      <c r="B89" t="n">
        <v>3</v>
      </c>
      <c r="C89" s="24" t="n">
        <v>9111.040000000001</v>
      </c>
      <c r="D89" t="n">
        <v>1</v>
      </c>
    </row>
    <row r="90">
      <c r="A90" t="n">
        <v>2022</v>
      </c>
      <c r="B90" t="n">
        <v>3</v>
      </c>
      <c r="C90" s="24" t="n">
        <v>8044.2</v>
      </c>
      <c r="D90" t="n">
        <v>2</v>
      </c>
    </row>
    <row r="91">
      <c r="A91" t="n">
        <v>2022</v>
      </c>
      <c r="B91" t="n">
        <v>3</v>
      </c>
      <c r="C91" s="24" t="n">
        <v>1752.99</v>
      </c>
      <c r="D91" t="n">
        <v>3</v>
      </c>
    </row>
    <row r="92">
      <c r="A92" t="n">
        <v>2022</v>
      </c>
      <c r="B92" t="n">
        <v>3</v>
      </c>
      <c r="C92" s="24" t="n">
        <v>736.38</v>
      </c>
      <c r="D92" t="n">
        <v>4</v>
      </c>
    </row>
    <row r="93">
      <c r="A93" t="n">
        <v>2022</v>
      </c>
      <c r="B93" t="n">
        <v>3</v>
      </c>
      <c r="C93" s="24" t="n">
        <v>1955.94</v>
      </c>
      <c r="D93" t="n">
        <v>5</v>
      </c>
    </row>
    <row r="94">
      <c r="A94" t="n">
        <v>2022</v>
      </c>
      <c r="B94" t="n">
        <v>3</v>
      </c>
      <c r="C94" s="24" t="n">
        <v>1164.82</v>
      </c>
      <c r="D94" t="n">
        <v>6</v>
      </c>
    </row>
    <row r="95">
      <c r="A95" t="n">
        <v>2022</v>
      </c>
      <c r="B95" t="n">
        <v>3</v>
      </c>
      <c r="C95" s="24" t="n">
        <v>5063.92</v>
      </c>
      <c r="D95" t="n">
        <v>7</v>
      </c>
    </row>
    <row r="96">
      <c r="A96" t="n">
        <v>2022</v>
      </c>
      <c r="B96" t="n">
        <v>3</v>
      </c>
      <c r="C96" s="24" t="n">
        <v>5464.27</v>
      </c>
      <c r="D96" t="n">
        <v>8</v>
      </c>
    </row>
    <row r="97">
      <c r="A97" t="n">
        <v>2022</v>
      </c>
      <c r="B97" t="n">
        <v>3</v>
      </c>
      <c r="C97" s="24" t="n">
        <v>4714.1</v>
      </c>
      <c r="D97" t="n">
        <v>9</v>
      </c>
    </row>
    <row r="98">
      <c r="A98" t="n">
        <v>2022</v>
      </c>
      <c r="B98" t="n">
        <v>3</v>
      </c>
      <c r="C98" s="24" t="n">
        <v>4460.9</v>
      </c>
      <c r="D98" t="n">
        <v>10</v>
      </c>
    </row>
    <row r="99">
      <c r="A99" t="n">
        <v>2022</v>
      </c>
      <c r="B99" t="n">
        <v>3</v>
      </c>
      <c r="C99" s="24" t="n">
        <v>1076.5</v>
      </c>
      <c r="D99" t="n">
        <v>11</v>
      </c>
    </row>
    <row r="100">
      <c r="A100" t="n">
        <v>2022</v>
      </c>
      <c r="B100" t="n">
        <v>3</v>
      </c>
      <c r="C100" s="24" t="n">
        <v>349.8</v>
      </c>
      <c r="D100" t="n">
        <v>12</v>
      </c>
    </row>
    <row r="101">
      <c r="A101" t="n">
        <v>2022</v>
      </c>
      <c r="B101" t="n">
        <v>3</v>
      </c>
      <c r="C101" s="24" t="n">
        <v>5541.55</v>
      </c>
      <c r="D101" t="n">
        <v>13</v>
      </c>
    </row>
    <row r="102">
      <c r="A102" t="n">
        <v>2022</v>
      </c>
      <c r="B102" t="n">
        <v>3</v>
      </c>
      <c r="C102" s="24" t="n">
        <v>146.28</v>
      </c>
      <c r="D102" t="n">
        <v>15</v>
      </c>
    </row>
    <row r="103">
      <c r="A103" t="n">
        <v>2022</v>
      </c>
      <c r="B103" t="n">
        <v>3</v>
      </c>
      <c r="C103" s="24" t="n">
        <v>2360.34</v>
      </c>
      <c r="D103" t="n">
        <v>16</v>
      </c>
    </row>
    <row r="104">
      <c r="A104" t="n">
        <v>2022</v>
      </c>
      <c r="B104" t="n">
        <v>3</v>
      </c>
      <c r="C104" s="24" t="n">
        <v>728.85</v>
      </c>
      <c r="D104" t="n">
        <v>17</v>
      </c>
    </row>
    <row r="105">
      <c r="A105" t="n">
        <v>2022</v>
      </c>
      <c r="B105" t="n">
        <v>3</v>
      </c>
      <c r="C105" s="24" t="n">
        <v>2249.51</v>
      </c>
      <c r="D105" t="n">
        <v>18</v>
      </c>
    </row>
    <row r="106">
      <c r="A106" t="n">
        <v>2022</v>
      </c>
      <c r="B106" t="n">
        <v>3</v>
      </c>
      <c r="C106" s="24" t="n">
        <v>3702.69</v>
      </c>
      <c r="D106" t="n">
        <v>19</v>
      </c>
    </row>
    <row r="107">
      <c r="A107" t="n">
        <v>2022</v>
      </c>
      <c r="B107" t="n">
        <v>3</v>
      </c>
      <c r="C107" s="24" t="n">
        <v>3884.37</v>
      </c>
      <c r="D107" t="n">
        <v>20</v>
      </c>
    </row>
    <row r="108">
      <c r="A108" t="n">
        <v>2022</v>
      </c>
      <c r="B108" t="n">
        <v>3</v>
      </c>
      <c r="C108" s="24" t="n">
        <v>1261.55</v>
      </c>
      <c r="D108" t="n">
        <v>21</v>
      </c>
    </row>
    <row r="109">
      <c r="A109" t="n">
        <v>2022</v>
      </c>
      <c r="B109" t="n">
        <v>3</v>
      </c>
      <c r="C109" s="24" t="n">
        <v>668.46</v>
      </c>
      <c r="D109" t="n">
        <v>22</v>
      </c>
    </row>
    <row r="110">
      <c r="A110" t="n">
        <v>2022</v>
      </c>
      <c r="B110" t="n">
        <v>3</v>
      </c>
      <c r="C110" s="24" t="n">
        <v>2070.69</v>
      </c>
      <c r="D110" t="n">
        <v>23</v>
      </c>
    </row>
    <row r="111">
      <c r="A111" t="n">
        <v>2022</v>
      </c>
      <c r="B111" t="n">
        <v>3</v>
      </c>
      <c r="C111" s="24" t="n">
        <v>3121.68</v>
      </c>
      <c r="D111" t="n">
        <v>24</v>
      </c>
    </row>
    <row r="112">
      <c r="A112" t="n">
        <v>2022</v>
      </c>
      <c r="B112" t="n">
        <v>3</v>
      </c>
      <c r="C112" s="24" t="n">
        <v>4833.17</v>
      </c>
      <c r="D112" t="n">
        <v>25</v>
      </c>
    </row>
    <row r="113">
      <c r="A113" t="n">
        <v>2022</v>
      </c>
      <c r="B113" t="n">
        <v>3</v>
      </c>
      <c r="C113" s="24" t="n">
        <v>1643.85</v>
      </c>
      <c r="D113" t="n">
        <v>26</v>
      </c>
    </row>
    <row r="114">
      <c r="A114" t="n">
        <v>2022</v>
      </c>
      <c r="B114" t="n">
        <v>3</v>
      </c>
      <c r="C114" s="24" t="n">
        <v>1716.28</v>
      </c>
      <c r="D114" t="n">
        <v>27</v>
      </c>
    </row>
    <row r="115">
      <c r="A115" t="n">
        <v>2022</v>
      </c>
      <c r="B115" t="n">
        <v>3</v>
      </c>
      <c r="C115" s="24" t="n">
        <v>752.87</v>
      </c>
      <c r="D115" t="n">
        <v>28</v>
      </c>
    </row>
    <row r="116">
      <c r="A116" t="n">
        <v>2022</v>
      </c>
      <c r="B116" t="n">
        <v>3</v>
      </c>
      <c r="C116" s="24" t="n">
        <v>624.96</v>
      </c>
      <c r="D116" t="n">
        <v>29</v>
      </c>
    </row>
    <row r="117">
      <c r="A117" t="n">
        <v>2022</v>
      </c>
      <c r="B117" t="n">
        <v>3</v>
      </c>
      <c r="C117" s="24" t="n">
        <v>642.62</v>
      </c>
      <c r="D117" t="n">
        <v>30</v>
      </c>
    </row>
    <row r="118">
      <c r="A118" t="n">
        <v>2022</v>
      </c>
      <c r="B118" t="n">
        <v>3</v>
      </c>
      <c r="C118" s="24" t="n">
        <v>4150.25</v>
      </c>
      <c r="D118" t="n">
        <v>31</v>
      </c>
    </row>
    <row r="119">
      <c r="A119" t="n">
        <v>2022</v>
      </c>
      <c r="B119" t="n">
        <v>4</v>
      </c>
      <c r="C119" s="24" t="n">
        <v>2207.8</v>
      </c>
      <c r="D119" t="n">
        <v>1</v>
      </c>
    </row>
    <row r="120">
      <c r="A120" t="n">
        <v>2022</v>
      </c>
      <c r="B120" t="n">
        <v>4</v>
      </c>
      <c r="C120" s="24" t="n">
        <v>5565.93</v>
      </c>
      <c r="D120" t="n">
        <v>2</v>
      </c>
    </row>
    <row r="121">
      <c r="A121" t="n">
        <v>2022</v>
      </c>
      <c r="B121" t="n">
        <v>4</v>
      </c>
      <c r="C121" s="24" t="n">
        <v>5976.13</v>
      </c>
      <c r="D121" t="n">
        <v>3</v>
      </c>
    </row>
    <row r="122">
      <c r="A122" t="n">
        <v>2022</v>
      </c>
      <c r="B122" t="n">
        <v>4</v>
      </c>
      <c r="C122" s="24" t="n">
        <v>5494.62</v>
      </c>
      <c r="D122" t="n">
        <v>5</v>
      </c>
    </row>
    <row r="123">
      <c r="A123" t="n">
        <v>2022</v>
      </c>
      <c r="B123" t="n">
        <v>4</v>
      </c>
      <c r="C123" s="24" t="n">
        <v>3895.78</v>
      </c>
      <c r="D123" t="n">
        <v>6</v>
      </c>
    </row>
    <row r="124">
      <c r="A124" t="n">
        <v>2022</v>
      </c>
      <c r="B124" t="n">
        <v>4</v>
      </c>
      <c r="C124" s="24" t="n">
        <v>2140.42</v>
      </c>
      <c r="D124" t="n">
        <v>7</v>
      </c>
    </row>
    <row r="125">
      <c r="A125" t="n">
        <v>2022</v>
      </c>
      <c r="B125" t="n">
        <v>4</v>
      </c>
      <c r="C125" s="24" t="n">
        <v>11297.7</v>
      </c>
      <c r="D125" t="n">
        <v>8</v>
      </c>
    </row>
    <row r="126">
      <c r="A126" t="n">
        <v>2022</v>
      </c>
      <c r="B126" t="n">
        <v>4</v>
      </c>
      <c r="C126" s="24" t="n">
        <v>3232.66</v>
      </c>
      <c r="D126" t="n">
        <v>9</v>
      </c>
    </row>
    <row r="127">
      <c r="A127" t="n">
        <v>2022</v>
      </c>
      <c r="B127" t="n">
        <v>4</v>
      </c>
      <c r="C127" s="24" t="n">
        <v>4879.33</v>
      </c>
      <c r="D127" t="n">
        <v>10</v>
      </c>
    </row>
    <row r="128">
      <c r="A128" t="n">
        <v>2022</v>
      </c>
      <c r="B128" t="n">
        <v>4</v>
      </c>
      <c r="C128" s="24" t="n">
        <v>1522.07</v>
      </c>
      <c r="D128" t="n">
        <v>11</v>
      </c>
    </row>
    <row r="129">
      <c r="A129" t="n">
        <v>2022</v>
      </c>
      <c r="B129" t="n">
        <v>4</v>
      </c>
      <c r="C129" s="24" t="n">
        <v>126.1</v>
      </c>
      <c r="D129" t="n">
        <v>12</v>
      </c>
    </row>
    <row r="130">
      <c r="A130" t="n">
        <v>2022</v>
      </c>
      <c r="B130" t="n">
        <v>4</v>
      </c>
      <c r="C130" s="24" t="n">
        <v>10967.78</v>
      </c>
      <c r="D130" t="n">
        <v>13</v>
      </c>
    </row>
    <row r="131">
      <c r="A131" t="n">
        <v>2022</v>
      </c>
      <c r="B131" t="n">
        <v>4</v>
      </c>
      <c r="C131" s="24" t="n">
        <v>952.21</v>
      </c>
      <c r="D131" t="n">
        <v>15</v>
      </c>
    </row>
    <row r="132">
      <c r="A132" t="n">
        <v>2022</v>
      </c>
      <c r="B132" t="n">
        <v>4</v>
      </c>
      <c r="C132" s="24" t="n">
        <v>2131.14</v>
      </c>
      <c r="D132" t="n">
        <v>16</v>
      </c>
    </row>
    <row r="133">
      <c r="A133" t="n">
        <v>2022</v>
      </c>
      <c r="B133" t="n">
        <v>4</v>
      </c>
      <c r="C133" s="24" t="n">
        <v>4354.92</v>
      </c>
      <c r="D133" t="n">
        <v>17</v>
      </c>
    </row>
    <row r="134">
      <c r="A134" t="n">
        <v>2022</v>
      </c>
      <c r="B134" t="n">
        <v>4</v>
      </c>
      <c r="C134" s="24" t="n">
        <v>989.15</v>
      </c>
      <c r="D134" t="n">
        <v>18</v>
      </c>
    </row>
    <row r="135">
      <c r="A135" t="n">
        <v>2022</v>
      </c>
      <c r="B135" t="n">
        <v>4</v>
      </c>
      <c r="C135" s="24" t="n">
        <v>864</v>
      </c>
      <c r="D135" t="n">
        <v>19</v>
      </c>
    </row>
    <row r="136">
      <c r="A136" t="n">
        <v>2022</v>
      </c>
      <c r="B136" t="n">
        <v>4</v>
      </c>
      <c r="C136" s="24" t="n">
        <v>951.47</v>
      </c>
      <c r="D136" t="n">
        <v>20</v>
      </c>
    </row>
    <row r="137">
      <c r="A137" t="n">
        <v>2022</v>
      </c>
      <c r="B137" t="n">
        <v>4</v>
      </c>
      <c r="C137" s="24" t="n">
        <v>2006.02</v>
      </c>
      <c r="D137" t="n">
        <v>21</v>
      </c>
    </row>
    <row r="138">
      <c r="A138" t="n">
        <v>2022</v>
      </c>
      <c r="B138" t="n">
        <v>4</v>
      </c>
      <c r="C138" s="24" t="n">
        <v>1232.28</v>
      </c>
      <c r="D138" t="n">
        <v>22</v>
      </c>
    </row>
    <row r="139">
      <c r="A139" t="n">
        <v>2022</v>
      </c>
      <c r="B139" t="n">
        <v>4</v>
      </c>
      <c r="C139" s="24" t="n">
        <v>1058.73</v>
      </c>
      <c r="D139" t="n">
        <v>23</v>
      </c>
    </row>
    <row r="140">
      <c r="A140" t="n">
        <v>2022</v>
      </c>
      <c r="B140" t="n">
        <v>4</v>
      </c>
      <c r="C140" s="24" t="n">
        <v>141.36</v>
      </c>
      <c r="D140" t="n">
        <v>24</v>
      </c>
    </row>
    <row r="141">
      <c r="A141" t="n">
        <v>2022</v>
      </c>
      <c r="B141" t="n">
        <v>4</v>
      </c>
      <c r="C141" s="24" t="n">
        <v>3315.56</v>
      </c>
      <c r="D141" t="n">
        <v>25</v>
      </c>
    </row>
    <row r="142">
      <c r="A142" t="n">
        <v>2022</v>
      </c>
      <c r="B142" t="n">
        <v>4</v>
      </c>
      <c r="C142" s="24" t="n">
        <v>4673.42</v>
      </c>
      <c r="D142" t="n">
        <v>26</v>
      </c>
    </row>
    <row r="143">
      <c r="A143" t="n">
        <v>2022</v>
      </c>
      <c r="B143" t="n">
        <v>4</v>
      </c>
      <c r="C143" s="24" t="n">
        <v>6540.24</v>
      </c>
      <c r="D143" t="n">
        <v>27</v>
      </c>
    </row>
    <row r="144">
      <c r="A144" t="n">
        <v>2022</v>
      </c>
      <c r="B144" t="n">
        <v>4</v>
      </c>
      <c r="C144" s="24" t="n">
        <v>278.1</v>
      </c>
      <c r="D144" t="n">
        <v>28</v>
      </c>
    </row>
    <row r="145">
      <c r="A145" t="n">
        <v>2022</v>
      </c>
      <c r="B145" t="n">
        <v>4</v>
      </c>
      <c r="C145" s="24" t="n">
        <v>5544.09</v>
      </c>
      <c r="D145" t="n">
        <v>29</v>
      </c>
    </row>
    <row r="146">
      <c r="A146" t="n">
        <v>2022</v>
      </c>
      <c r="B146" t="n">
        <v>4</v>
      </c>
      <c r="C146" s="24" t="n">
        <v>3820.92</v>
      </c>
      <c r="D146" t="n">
        <v>30</v>
      </c>
    </row>
    <row r="147">
      <c r="A147" t="n">
        <v>2022</v>
      </c>
      <c r="B147" t="n">
        <v>5</v>
      </c>
      <c r="C147" s="24" t="n">
        <v>2971.17</v>
      </c>
      <c r="D147" t="n">
        <v>1</v>
      </c>
    </row>
    <row r="148">
      <c r="A148" t="n">
        <v>2022</v>
      </c>
      <c r="B148" t="n">
        <v>5</v>
      </c>
      <c r="C148" s="24" t="n">
        <v>1993.48</v>
      </c>
      <c r="D148" t="n">
        <v>2</v>
      </c>
    </row>
    <row r="149">
      <c r="A149" t="n">
        <v>2022</v>
      </c>
      <c r="B149" t="n">
        <v>5</v>
      </c>
      <c r="C149" s="24" t="n">
        <v>826.9599999999999</v>
      </c>
      <c r="D149" t="n">
        <v>3</v>
      </c>
    </row>
    <row r="150">
      <c r="A150" t="n">
        <v>2022</v>
      </c>
      <c r="B150" t="n">
        <v>5</v>
      </c>
      <c r="C150" s="24" t="n">
        <v>6291.7</v>
      </c>
      <c r="D150" t="n">
        <v>4</v>
      </c>
    </row>
    <row r="151">
      <c r="A151" t="n">
        <v>2022</v>
      </c>
      <c r="B151" t="n">
        <v>5</v>
      </c>
      <c r="C151" s="24" t="n">
        <v>2789.25</v>
      </c>
      <c r="D151" t="n">
        <v>5</v>
      </c>
    </row>
    <row r="152">
      <c r="A152" t="n">
        <v>2022</v>
      </c>
      <c r="B152" t="n">
        <v>5</v>
      </c>
      <c r="C152" s="24" t="n">
        <v>922.87</v>
      </c>
      <c r="D152" t="n">
        <v>6</v>
      </c>
    </row>
    <row r="153">
      <c r="A153" t="n">
        <v>2022</v>
      </c>
      <c r="B153" t="n">
        <v>5</v>
      </c>
      <c r="C153" s="24" t="n">
        <v>938.0699999999999</v>
      </c>
      <c r="D153" t="n">
        <v>7</v>
      </c>
    </row>
    <row r="154">
      <c r="A154" t="n">
        <v>2022</v>
      </c>
      <c r="B154" t="n">
        <v>5</v>
      </c>
      <c r="C154" s="24" t="n">
        <v>68</v>
      </c>
      <c r="D154" t="n">
        <v>8</v>
      </c>
    </row>
    <row r="155">
      <c r="A155" t="n">
        <v>2022</v>
      </c>
      <c r="B155" t="n">
        <v>5</v>
      </c>
      <c r="C155" s="24" t="n">
        <v>2984.37</v>
      </c>
      <c r="D155" t="n">
        <v>9</v>
      </c>
    </row>
    <row r="156">
      <c r="A156" t="n">
        <v>2022</v>
      </c>
      <c r="B156" t="n">
        <v>5</v>
      </c>
      <c r="C156" s="24" t="n">
        <v>352.54</v>
      </c>
      <c r="D156" t="n">
        <v>10</v>
      </c>
    </row>
    <row r="157">
      <c r="A157" t="n">
        <v>2022</v>
      </c>
      <c r="B157" t="n">
        <v>5</v>
      </c>
      <c r="C157" s="24" t="n">
        <v>10235.97</v>
      </c>
      <c r="D157" t="n">
        <v>11</v>
      </c>
    </row>
    <row r="158">
      <c r="A158" t="n">
        <v>2022</v>
      </c>
      <c r="B158" t="n">
        <v>5</v>
      </c>
      <c r="C158" s="24" t="n">
        <v>280.6</v>
      </c>
      <c r="D158" t="n">
        <v>12</v>
      </c>
    </row>
    <row r="159">
      <c r="A159" t="n">
        <v>2022</v>
      </c>
      <c r="B159" t="n">
        <v>5</v>
      </c>
      <c r="C159" s="24" t="n">
        <v>2185.16</v>
      </c>
      <c r="D159" t="n">
        <v>13</v>
      </c>
    </row>
    <row r="160">
      <c r="A160" t="n">
        <v>2022</v>
      </c>
      <c r="B160" t="n">
        <v>5</v>
      </c>
      <c r="C160" s="24" t="n">
        <v>1371.36</v>
      </c>
      <c r="D160" t="n">
        <v>14</v>
      </c>
    </row>
    <row r="161">
      <c r="A161" t="n">
        <v>2022</v>
      </c>
      <c r="B161" t="n">
        <v>5</v>
      </c>
      <c r="C161" s="24" t="n">
        <v>210.22</v>
      </c>
      <c r="D161" t="n">
        <v>15</v>
      </c>
    </row>
    <row r="162">
      <c r="A162" t="n">
        <v>2022</v>
      </c>
      <c r="B162" t="n">
        <v>5</v>
      </c>
      <c r="C162" s="24" t="n">
        <v>1182.77</v>
      </c>
      <c r="D162" t="n">
        <v>16</v>
      </c>
    </row>
    <row r="163">
      <c r="A163" t="n">
        <v>2022</v>
      </c>
      <c r="B163" t="n">
        <v>5</v>
      </c>
      <c r="C163" s="24" t="n">
        <v>2757.15</v>
      </c>
      <c r="D163" t="n">
        <v>17</v>
      </c>
    </row>
    <row r="164">
      <c r="A164" t="n">
        <v>2022</v>
      </c>
      <c r="B164" t="n">
        <v>5</v>
      </c>
      <c r="C164" s="24" t="n">
        <v>1356.64</v>
      </c>
      <c r="D164" t="n">
        <v>18</v>
      </c>
    </row>
    <row r="165">
      <c r="A165" t="n">
        <v>2022</v>
      </c>
      <c r="B165" t="n">
        <v>5</v>
      </c>
      <c r="C165" s="24" t="n">
        <v>1601.86</v>
      </c>
      <c r="D165" t="n">
        <v>19</v>
      </c>
    </row>
    <row r="166">
      <c r="A166" t="n">
        <v>2022</v>
      </c>
      <c r="B166" t="n">
        <v>5</v>
      </c>
      <c r="C166" s="24" t="n">
        <v>3336.58</v>
      </c>
      <c r="D166" t="n">
        <v>20</v>
      </c>
    </row>
    <row r="167">
      <c r="A167" t="n">
        <v>2022</v>
      </c>
      <c r="B167" t="n">
        <v>5</v>
      </c>
      <c r="C167" s="24" t="n">
        <v>1632.59</v>
      </c>
      <c r="D167" t="n">
        <v>21</v>
      </c>
    </row>
    <row r="168">
      <c r="A168" t="n">
        <v>2022</v>
      </c>
      <c r="B168" t="n">
        <v>5</v>
      </c>
      <c r="C168" s="24" t="n">
        <v>2739.77</v>
      </c>
      <c r="D168" t="n">
        <v>22</v>
      </c>
    </row>
    <row r="169">
      <c r="A169" t="n">
        <v>2022</v>
      </c>
      <c r="B169" t="n">
        <v>5</v>
      </c>
      <c r="C169" s="24" t="n">
        <v>2225.01</v>
      </c>
      <c r="D169" t="n">
        <v>23</v>
      </c>
    </row>
    <row r="170">
      <c r="A170" t="n">
        <v>2022</v>
      </c>
      <c r="B170" t="n">
        <v>5</v>
      </c>
      <c r="C170" s="24" t="n">
        <v>2533.44</v>
      </c>
      <c r="D170" t="n">
        <v>24</v>
      </c>
    </row>
    <row r="171">
      <c r="A171" t="n">
        <v>2022</v>
      </c>
      <c r="B171" t="n">
        <v>5</v>
      </c>
      <c r="C171" s="24" t="n">
        <v>955.26</v>
      </c>
      <c r="D171" t="n">
        <v>26</v>
      </c>
    </row>
    <row r="172">
      <c r="A172" t="n">
        <v>2022</v>
      </c>
      <c r="B172" t="n">
        <v>5</v>
      </c>
      <c r="C172" s="24" t="n">
        <v>4556.900000000001</v>
      </c>
      <c r="D172" t="n">
        <v>27</v>
      </c>
    </row>
    <row r="173">
      <c r="A173" t="n">
        <v>2022</v>
      </c>
      <c r="B173" t="n">
        <v>5</v>
      </c>
      <c r="C173" s="24" t="n">
        <v>2562.49</v>
      </c>
      <c r="D173" t="n">
        <v>28</v>
      </c>
    </row>
    <row r="174">
      <c r="A174" t="n">
        <v>2022</v>
      </c>
      <c r="B174" t="n">
        <v>5</v>
      </c>
      <c r="C174" s="24" t="n">
        <v>2080.48</v>
      </c>
      <c r="D174" t="n">
        <v>29</v>
      </c>
    </row>
    <row r="175">
      <c r="A175" t="n">
        <v>2022</v>
      </c>
      <c r="B175" t="n">
        <v>5</v>
      </c>
      <c r="C175" s="24" t="n">
        <v>2052.16</v>
      </c>
      <c r="D175" t="n">
        <v>30</v>
      </c>
    </row>
    <row r="176">
      <c r="A176" t="n">
        <v>2022</v>
      </c>
      <c r="B176" t="n">
        <v>5</v>
      </c>
      <c r="C176" s="24" t="n">
        <v>1301.56</v>
      </c>
      <c r="D176" t="n">
        <v>31</v>
      </c>
    </row>
    <row r="177">
      <c r="A177" t="n">
        <v>2022</v>
      </c>
      <c r="B177" t="n">
        <v>6</v>
      </c>
      <c r="C177" s="24" t="n">
        <v>590.42</v>
      </c>
      <c r="D177" t="n">
        <v>3</v>
      </c>
    </row>
    <row r="178">
      <c r="A178" t="n">
        <v>2022</v>
      </c>
      <c r="B178" t="n">
        <v>6</v>
      </c>
      <c r="C178" s="24" t="n">
        <v>3181.82</v>
      </c>
      <c r="D178" t="n">
        <v>4</v>
      </c>
    </row>
    <row r="179">
      <c r="A179" t="n">
        <v>2022</v>
      </c>
      <c r="B179" t="n">
        <v>6</v>
      </c>
      <c r="C179" s="24" t="n">
        <v>9214.84</v>
      </c>
      <c r="D179" t="n">
        <v>5</v>
      </c>
    </row>
    <row r="180">
      <c r="A180" t="n">
        <v>2022</v>
      </c>
      <c r="B180" t="n">
        <v>6</v>
      </c>
      <c r="C180" s="24" t="n">
        <v>2224</v>
      </c>
      <c r="D180" t="n">
        <v>6</v>
      </c>
    </row>
    <row r="181">
      <c r="A181" t="n">
        <v>2022</v>
      </c>
      <c r="B181" t="n">
        <v>6</v>
      </c>
      <c r="C181" s="24" t="n">
        <v>7735.95</v>
      </c>
      <c r="D181" t="n">
        <v>7</v>
      </c>
    </row>
    <row r="182">
      <c r="A182" t="n">
        <v>2022</v>
      </c>
      <c r="B182" t="n">
        <v>6</v>
      </c>
      <c r="C182" s="24" t="n">
        <v>1870.94</v>
      </c>
      <c r="D182" t="n">
        <v>8</v>
      </c>
    </row>
    <row r="183">
      <c r="A183" t="n">
        <v>2022</v>
      </c>
      <c r="B183" t="n">
        <v>6</v>
      </c>
      <c r="C183" s="24" t="n">
        <v>1507.68</v>
      </c>
      <c r="D183" t="n">
        <v>9</v>
      </c>
    </row>
    <row r="184">
      <c r="A184" t="n">
        <v>2022</v>
      </c>
      <c r="B184" t="n">
        <v>6</v>
      </c>
      <c r="C184" s="24" t="n">
        <v>409.84</v>
      </c>
      <c r="D184" t="n">
        <v>10</v>
      </c>
    </row>
    <row r="185">
      <c r="A185" t="n">
        <v>2022</v>
      </c>
      <c r="B185" t="n">
        <v>6</v>
      </c>
      <c r="C185" s="24" t="n">
        <v>2793.97</v>
      </c>
      <c r="D185" t="n">
        <v>11</v>
      </c>
    </row>
    <row r="186">
      <c r="A186" t="n">
        <v>2022</v>
      </c>
      <c r="B186" t="n">
        <v>6</v>
      </c>
      <c r="C186" s="24" t="n">
        <v>2936.11</v>
      </c>
      <c r="D186" t="n">
        <v>12</v>
      </c>
    </row>
    <row r="187">
      <c r="A187" t="n">
        <v>2022</v>
      </c>
      <c r="B187" t="n">
        <v>6</v>
      </c>
      <c r="C187" s="24" t="n">
        <v>2047.96</v>
      </c>
      <c r="D187" t="n">
        <v>13</v>
      </c>
    </row>
    <row r="188">
      <c r="A188" t="n">
        <v>2022</v>
      </c>
      <c r="B188" t="n">
        <v>6</v>
      </c>
      <c r="C188" s="24" t="n">
        <v>5516.89</v>
      </c>
      <c r="D188" t="n">
        <v>14</v>
      </c>
    </row>
    <row r="189">
      <c r="A189" t="n">
        <v>2022</v>
      </c>
      <c r="B189" t="n">
        <v>6</v>
      </c>
      <c r="C189" s="24" t="n">
        <v>5662.61</v>
      </c>
      <c r="D189" t="n">
        <v>16</v>
      </c>
    </row>
    <row r="190">
      <c r="A190" t="n">
        <v>2022</v>
      </c>
      <c r="B190" t="n">
        <v>6</v>
      </c>
      <c r="C190" s="24" t="n">
        <v>1530.73</v>
      </c>
      <c r="D190" t="n">
        <v>17</v>
      </c>
    </row>
    <row r="191">
      <c r="A191" t="n">
        <v>2022</v>
      </c>
      <c r="B191" t="n">
        <v>6</v>
      </c>
      <c r="C191" s="24" t="n">
        <v>2577.57</v>
      </c>
      <c r="D191" t="n">
        <v>18</v>
      </c>
    </row>
    <row r="192">
      <c r="A192" t="n">
        <v>2022</v>
      </c>
      <c r="B192" t="n">
        <v>6</v>
      </c>
      <c r="C192" s="24" t="n">
        <v>4532.07</v>
      </c>
      <c r="D192" t="n">
        <v>19</v>
      </c>
    </row>
    <row r="193">
      <c r="A193" t="n">
        <v>2022</v>
      </c>
      <c r="B193" t="n">
        <v>6</v>
      </c>
      <c r="C193" s="24" t="n">
        <v>1497.33</v>
      </c>
      <c r="D193" t="n">
        <v>20</v>
      </c>
    </row>
    <row r="194">
      <c r="A194" t="n">
        <v>2022</v>
      </c>
      <c r="B194" t="n">
        <v>6</v>
      </c>
      <c r="C194" s="24" t="n">
        <v>165.6</v>
      </c>
      <c r="D194" t="n">
        <v>22</v>
      </c>
    </row>
    <row r="195">
      <c r="A195" t="n">
        <v>2022</v>
      </c>
      <c r="B195" t="n">
        <v>6</v>
      </c>
      <c r="C195" s="24" t="n">
        <v>3391.47</v>
      </c>
      <c r="D195" t="n">
        <v>23</v>
      </c>
    </row>
    <row r="196">
      <c r="A196" t="n">
        <v>2022</v>
      </c>
      <c r="B196" t="n">
        <v>6</v>
      </c>
      <c r="C196" s="24" t="n">
        <v>372.88</v>
      </c>
      <c r="D196" t="n">
        <v>25</v>
      </c>
    </row>
    <row r="197">
      <c r="A197" t="n">
        <v>2022</v>
      </c>
      <c r="B197" t="n">
        <v>6</v>
      </c>
      <c r="C197" s="24" t="n">
        <v>2644.21</v>
      </c>
      <c r="D197" t="n">
        <v>26</v>
      </c>
    </row>
    <row r="198">
      <c r="A198" t="n">
        <v>2022</v>
      </c>
      <c r="B198" t="n">
        <v>6</v>
      </c>
      <c r="C198" s="24" t="n">
        <v>2314.29</v>
      </c>
      <c r="D198" t="n">
        <v>27</v>
      </c>
    </row>
    <row r="199">
      <c r="A199" t="n">
        <v>2022</v>
      </c>
      <c r="B199" t="n">
        <v>6</v>
      </c>
      <c r="C199" s="24" t="n">
        <v>2083.9</v>
      </c>
      <c r="D199" t="n">
        <v>29</v>
      </c>
    </row>
    <row r="200">
      <c r="A200" t="n">
        <v>2022</v>
      </c>
      <c r="B200" t="n">
        <v>6</v>
      </c>
      <c r="C200" s="24" t="n">
        <v>2836.36</v>
      </c>
      <c r="D200" t="n">
        <v>30</v>
      </c>
    </row>
    <row r="201">
      <c r="A201" t="n">
        <v>2022</v>
      </c>
      <c r="B201" t="n">
        <v>7</v>
      </c>
      <c r="C201" s="24" t="n">
        <v>713.75</v>
      </c>
      <c r="D201" t="n">
        <v>1</v>
      </c>
    </row>
    <row r="202">
      <c r="A202" t="n">
        <v>2022</v>
      </c>
      <c r="B202" t="n">
        <v>7</v>
      </c>
      <c r="C202" s="24" t="n">
        <v>4469.96</v>
      </c>
      <c r="D202" t="n">
        <v>2</v>
      </c>
    </row>
    <row r="203">
      <c r="A203" t="n">
        <v>2022</v>
      </c>
      <c r="B203" t="n">
        <v>7</v>
      </c>
      <c r="C203" s="24" t="n">
        <v>3676.28</v>
      </c>
      <c r="D203" t="n">
        <v>4</v>
      </c>
    </row>
    <row r="204">
      <c r="A204" t="n">
        <v>2022</v>
      </c>
      <c r="B204" t="n">
        <v>7</v>
      </c>
      <c r="C204" s="24" t="n">
        <v>4324.92</v>
      </c>
      <c r="D204" t="n">
        <v>5</v>
      </c>
    </row>
    <row r="205">
      <c r="A205" t="n">
        <v>2022</v>
      </c>
      <c r="B205" t="n">
        <v>7</v>
      </c>
      <c r="C205" s="24" t="n">
        <v>3202.04</v>
      </c>
      <c r="D205" t="n">
        <v>6</v>
      </c>
    </row>
    <row r="206">
      <c r="A206" t="n">
        <v>2022</v>
      </c>
      <c r="B206" t="n">
        <v>7</v>
      </c>
      <c r="C206" s="24" t="n">
        <v>4293.05</v>
      </c>
      <c r="D206" t="n">
        <v>7</v>
      </c>
    </row>
    <row r="207">
      <c r="A207" t="n">
        <v>2022</v>
      </c>
      <c r="B207" t="n">
        <v>7</v>
      </c>
      <c r="C207" s="24" t="n">
        <v>2329.84</v>
      </c>
      <c r="D207" t="n">
        <v>8</v>
      </c>
    </row>
    <row r="208">
      <c r="A208" t="n">
        <v>2022</v>
      </c>
      <c r="B208" t="n">
        <v>7</v>
      </c>
      <c r="C208" s="24" t="n">
        <v>1754.85</v>
      </c>
      <c r="D208" t="n">
        <v>9</v>
      </c>
    </row>
    <row r="209">
      <c r="A209" t="n">
        <v>2022</v>
      </c>
      <c r="B209" t="n">
        <v>7</v>
      </c>
      <c r="C209" s="24" t="n">
        <v>3815.47</v>
      </c>
      <c r="D209" t="n">
        <v>10</v>
      </c>
    </row>
    <row r="210">
      <c r="A210" t="n">
        <v>2022</v>
      </c>
      <c r="B210" t="n">
        <v>7</v>
      </c>
      <c r="C210" s="24" t="n">
        <v>61.29</v>
      </c>
      <c r="D210" t="n">
        <v>11</v>
      </c>
    </row>
    <row r="211">
      <c r="A211" t="n">
        <v>2022</v>
      </c>
      <c r="B211" t="n">
        <v>7</v>
      </c>
      <c r="C211" s="24" t="n">
        <v>2457.82</v>
      </c>
      <c r="D211" t="n">
        <v>12</v>
      </c>
    </row>
    <row r="212">
      <c r="A212" t="n">
        <v>2022</v>
      </c>
      <c r="B212" t="n">
        <v>7</v>
      </c>
      <c r="C212" s="24" t="n">
        <v>5006.7</v>
      </c>
      <c r="D212" t="n">
        <v>13</v>
      </c>
    </row>
    <row r="213">
      <c r="A213" t="n">
        <v>2022</v>
      </c>
      <c r="B213" t="n">
        <v>7</v>
      </c>
      <c r="C213" s="24" t="n">
        <v>3197.9</v>
      </c>
      <c r="D213" t="n">
        <v>14</v>
      </c>
    </row>
    <row r="214">
      <c r="A214" t="n">
        <v>2022</v>
      </c>
      <c r="B214" t="n">
        <v>7</v>
      </c>
      <c r="C214" s="24" t="n">
        <v>2061.99</v>
      </c>
      <c r="D214" t="n">
        <v>15</v>
      </c>
    </row>
    <row r="215">
      <c r="A215" t="n">
        <v>2022</v>
      </c>
      <c r="B215" t="n">
        <v>7</v>
      </c>
      <c r="C215" s="24" t="n">
        <v>4728.47</v>
      </c>
      <c r="D215" t="n">
        <v>17</v>
      </c>
    </row>
    <row r="216">
      <c r="A216" t="n">
        <v>2022</v>
      </c>
      <c r="B216" t="n">
        <v>7</v>
      </c>
      <c r="C216" s="24" t="n">
        <v>3690.09</v>
      </c>
      <c r="D216" t="n">
        <v>18</v>
      </c>
    </row>
    <row r="217">
      <c r="A217" t="n">
        <v>2022</v>
      </c>
      <c r="B217" t="n">
        <v>7</v>
      </c>
      <c r="C217" s="24" t="n">
        <v>3015.23</v>
      </c>
      <c r="D217" t="n">
        <v>19</v>
      </c>
    </row>
    <row r="218">
      <c r="A218" t="n">
        <v>2022</v>
      </c>
      <c r="B218" t="n">
        <v>7</v>
      </c>
      <c r="C218" s="24" t="n">
        <v>550.29</v>
      </c>
      <c r="D218" t="n">
        <v>20</v>
      </c>
    </row>
    <row r="219">
      <c r="A219" t="n">
        <v>2022</v>
      </c>
      <c r="B219" t="n">
        <v>7</v>
      </c>
      <c r="C219" s="24" t="n">
        <v>3500.24</v>
      </c>
      <c r="D219" t="n">
        <v>21</v>
      </c>
    </row>
    <row r="220">
      <c r="A220" t="n">
        <v>2022</v>
      </c>
      <c r="B220" t="n">
        <v>7</v>
      </c>
      <c r="C220" s="24" t="n">
        <v>349.87</v>
      </c>
      <c r="D220" t="n">
        <v>24</v>
      </c>
    </row>
    <row r="221">
      <c r="A221" t="n">
        <v>2022</v>
      </c>
      <c r="B221" t="n">
        <v>7</v>
      </c>
      <c r="C221" s="24" t="n">
        <v>1505.34</v>
      </c>
      <c r="D221" t="n">
        <v>25</v>
      </c>
    </row>
    <row r="222">
      <c r="A222" t="n">
        <v>2022</v>
      </c>
      <c r="B222" t="n">
        <v>7</v>
      </c>
      <c r="C222" s="24" t="n">
        <v>1428.03</v>
      </c>
      <c r="D222" t="n">
        <v>26</v>
      </c>
    </row>
    <row r="223">
      <c r="A223" t="n">
        <v>2022</v>
      </c>
      <c r="B223" t="n">
        <v>7</v>
      </c>
      <c r="C223" s="24" t="n">
        <v>1107.98</v>
      </c>
      <c r="D223" t="n">
        <v>27</v>
      </c>
    </row>
    <row r="224">
      <c r="A224" t="n">
        <v>2022</v>
      </c>
      <c r="B224" t="n">
        <v>7</v>
      </c>
      <c r="C224" s="24" t="n">
        <v>1831.8</v>
      </c>
      <c r="D224" t="n">
        <v>29</v>
      </c>
    </row>
    <row r="225">
      <c r="A225" t="n">
        <v>2022</v>
      </c>
      <c r="B225" t="n">
        <v>7</v>
      </c>
      <c r="C225" s="24" t="n">
        <v>507.96</v>
      </c>
      <c r="D225" t="n">
        <v>30</v>
      </c>
    </row>
    <row r="226">
      <c r="A226" t="n">
        <v>2022</v>
      </c>
      <c r="B226" t="n">
        <v>7</v>
      </c>
      <c r="C226" s="24" t="n">
        <v>3709.58</v>
      </c>
      <c r="D226" t="n">
        <v>31</v>
      </c>
    </row>
    <row r="227">
      <c r="A227" t="n">
        <v>2022</v>
      </c>
      <c r="B227" t="n">
        <v>8</v>
      </c>
      <c r="C227" s="24" t="n">
        <v>5976.110000000001</v>
      </c>
      <c r="D227" t="n">
        <v>1</v>
      </c>
    </row>
    <row r="228">
      <c r="A228" t="n">
        <v>2022</v>
      </c>
      <c r="B228" t="n">
        <v>8</v>
      </c>
      <c r="C228" s="24" t="n">
        <v>132.43</v>
      </c>
      <c r="D228" t="n">
        <v>2</v>
      </c>
    </row>
    <row r="229">
      <c r="A229" t="n">
        <v>2022</v>
      </c>
      <c r="B229" t="n">
        <v>8</v>
      </c>
      <c r="C229" s="24" t="n">
        <v>4480.07</v>
      </c>
      <c r="D229" t="n">
        <v>3</v>
      </c>
    </row>
    <row r="230">
      <c r="A230" t="n">
        <v>2022</v>
      </c>
      <c r="B230" t="n">
        <v>8</v>
      </c>
      <c r="C230" s="24" t="n">
        <v>2362.5</v>
      </c>
      <c r="D230" t="n">
        <v>4</v>
      </c>
    </row>
    <row r="231">
      <c r="A231" t="n">
        <v>2022</v>
      </c>
      <c r="B231" t="n">
        <v>8</v>
      </c>
      <c r="C231" s="24" t="n">
        <v>919.1899999999999</v>
      </c>
      <c r="D231" t="n">
        <v>5</v>
      </c>
    </row>
    <row r="232">
      <c r="A232" t="n">
        <v>2022</v>
      </c>
      <c r="B232" t="n">
        <v>8</v>
      </c>
      <c r="C232" s="24" t="n">
        <v>1964.68</v>
      </c>
      <c r="D232" t="n">
        <v>6</v>
      </c>
    </row>
    <row r="233">
      <c r="A233" t="n">
        <v>2022</v>
      </c>
      <c r="B233" t="n">
        <v>8</v>
      </c>
      <c r="C233" s="24" t="n">
        <v>5382.52</v>
      </c>
      <c r="D233" t="n">
        <v>7</v>
      </c>
    </row>
    <row r="234">
      <c r="A234" t="n">
        <v>2022</v>
      </c>
      <c r="B234" t="n">
        <v>8</v>
      </c>
      <c r="C234" s="24" t="n">
        <v>9312.58</v>
      </c>
      <c r="D234" t="n">
        <v>8</v>
      </c>
    </row>
    <row r="235">
      <c r="A235" t="n">
        <v>2022</v>
      </c>
      <c r="B235" t="n">
        <v>8</v>
      </c>
      <c r="C235" s="24" t="n">
        <v>916.2</v>
      </c>
      <c r="D235" t="n">
        <v>9</v>
      </c>
    </row>
    <row r="236">
      <c r="A236" t="n">
        <v>2022</v>
      </c>
      <c r="B236" t="n">
        <v>8</v>
      </c>
      <c r="C236" s="24" t="n">
        <v>883.1799999999999</v>
      </c>
      <c r="D236" t="n">
        <v>10</v>
      </c>
    </row>
    <row r="237">
      <c r="A237" t="n">
        <v>2022</v>
      </c>
      <c r="B237" t="n">
        <v>8</v>
      </c>
      <c r="C237" s="24" t="n">
        <v>3679.8</v>
      </c>
      <c r="D237" t="n">
        <v>11</v>
      </c>
    </row>
    <row r="238">
      <c r="A238" t="n">
        <v>2022</v>
      </c>
      <c r="B238" t="n">
        <v>8</v>
      </c>
      <c r="C238" s="24" t="n">
        <v>6800.99</v>
      </c>
      <c r="D238" t="n">
        <v>12</v>
      </c>
    </row>
    <row r="239">
      <c r="A239" t="n">
        <v>2022</v>
      </c>
      <c r="B239" t="n">
        <v>8</v>
      </c>
      <c r="C239" s="24" t="n">
        <v>3555.11</v>
      </c>
      <c r="D239" t="n">
        <v>14</v>
      </c>
    </row>
    <row r="240">
      <c r="A240" t="n">
        <v>2022</v>
      </c>
      <c r="B240" t="n">
        <v>8</v>
      </c>
      <c r="C240" s="24" t="n">
        <v>1106.85</v>
      </c>
      <c r="D240" t="n">
        <v>15</v>
      </c>
    </row>
    <row r="241">
      <c r="A241" t="n">
        <v>2022</v>
      </c>
      <c r="B241" t="n">
        <v>8</v>
      </c>
      <c r="C241" s="24" t="n">
        <v>1985.61</v>
      </c>
      <c r="D241" t="n">
        <v>16</v>
      </c>
    </row>
    <row r="242">
      <c r="A242" t="n">
        <v>2022</v>
      </c>
      <c r="B242" t="n">
        <v>8</v>
      </c>
      <c r="C242" s="24" t="n">
        <v>11324.03</v>
      </c>
      <c r="D242" t="n">
        <v>17</v>
      </c>
    </row>
    <row r="243">
      <c r="A243" t="n">
        <v>2022</v>
      </c>
      <c r="B243" t="n">
        <v>8</v>
      </c>
      <c r="C243" s="24" t="n">
        <v>2481.58</v>
      </c>
      <c r="D243" t="n">
        <v>18</v>
      </c>
    </row>
    <row r="244">
      <c r="A244" t="n">
        <v>2022</v>
      </c>
      <c r="B244" t="n">
        <v>8</v>
      </c>
      <c r="C244" s="24" t="n">
        <v>6223.34</v>
      </c>
      <c r="D244" t="n">
        <v>20</v>
      </c>
    </row>
    <row r="245">
      <c r="A245" t="n">
        <v>2022</v>
      </c>
      <c r="B245" t="n">
        <v>8</v>
      </c>
      <c r="C245" s="24" t="n">
        <v>4478.74</v>
      </c>
      <c r="D245" t="n">
        <v>21</v>
      </c>
    </row>
    <row r="246">
      <c r="A246" t="n">
        <v>2022</v>
      </c>
      <c r="B246" t="n">
        <v>8</v>
      </c>
      <c r="C246" s="24" t="n">
        <v>2045.94</v>
      </c>
      <c r="D246" t="n">
        <v>23</v>
      </c>
    </row>
    <row r="247">
      <c r="A247" t="n">
        <v>2022</v>
      </c>
      <c r="B247" t="n">
        <v>8</v>
      </c>
      <c r="C247" s="24" t="n">
        <v>874.95</v>
      </c>
      <c r="D247" t="n">
        <v>24</v>
      </c>
    </row>
    <row r="248">
      <c r="A248" t="n">
        <v>2022</v>
      </c>
      <c r="B248" t="n">
        <v>8</v>
      </c>
      <c r="C248" s="24" t="n">
        <v>112.64</v>
      </c>
      <c r="D248" t="n">
        <v>25</v>
      </c>
    </row>
    <row r="249">
      <c r="A249" t="n">
        <v>2022</v>
      </c>
      <c r="B249" t="n">
        <v>8</v>
      </c>
      <c r="C249" s="24" t="n">
        <v>2054.05</v>
      </c>
      <c r="D249" t="n">
        <v>26</v>
      </c>
    </row>
    <row r="250">
      <c r="A250" t="n">
        <v>2022</v>
      </c>
      <c r="B250" t="n">
        <v>8</v>
      </c>
      <c r="C250" s="24" t="n">
        <v>2178.27</v>
      </c>
      <c r="D250" t="n">
        <v>27</v>
      </c>
    </row>
    <row r="251">
      <c r="A251" t="n">
        <v>2022</v>
      </c>
      <c r="B251" t="n">
        <v>8</v>
      </c>
      <c r="C251" s="24" t="n">
        <v>312.57</v>
      </c>
      <c r="D251" t="n">
        <v>28</v>
      </c>
    </row>
    <row r="252">
      <c r="A252" t="n">
        <v>2022</v>
      </c>
      <c r="B252" t="n">
        <v>8</v>
      </c>
      <c r="C252" s="24" t="n">
        <v>2018.55</v>
      </c>
      <c r="D252" t="n">
        <v>29</v>
      </c>
    </row>
    <row r="253">
      <c r="A253" t="n">
        <v>2022</v>
      </c>
      <c r="B253" t="n">
        <v>8</v>
      </c>
      <c r="C253" s="24" t="n">
        <v>4200.83</v>
      </c>
      <c r="D253" t="n">
        <v>30</v>
      </c>
    </row>
    <row r="254">
      <c r="A254" t="n">
        <v>2022</v>
      </c>
      <c r="B254" t="n">
        <v>8</v>
      </c>
      <c r="C254" s="24" t="n">
        <v>1958.55</v>
      </c>
      <c r="D254" t="n">
        <v>31</v>
      </c>
    </row>
    <row r="255">
      <c r="A255" t="n">
        <v>2022</v>
      </c>
      <c r="B255" t="n">
        <v>9</v>
      </c>
      <c r="C255" s="24" t="n">
        <v>2032.15</v>
      </c>
      <c r="D255" t="n">
        <v>1</v>
      </c>
    </row>
    <row r="256">
      <c r="A256" t="n">
        <v>2022</v>
      </c>
      <c r="B256" t="n">
        <v>9</v>
      </c>
      <c r="C256" s="24" t="n">
        <v>3934.8</v>
      </c>
      <c r="D256" t="n">
        <v>2</v>
      </c>
    </row>
    <row r="257">
      <c r="A257" t="n">
        <v>2022</v>
      </c>
      <c r="B257" t="n">
        <v>9</v>
      </c>
      <c r="C257" s="24" t="n">
        <v>7341.24</v>
      </c>
      <c r="D257" t="n">
        <v>3</v>
      </c>
    </row>
    <row r="258">
      <c r="A258" t="n">
        <v>2022</v>
      </c>
      <c r="B258" t="n">
        <v>9</v>
      </c>
      <c r="C258" s="24" t="n">
        <v>742.77</v>
      </c>
      <c r="D258" t="n">
        <v>4</v>
      </c>
    </row>
    <row r="259">
      <c r="A259" t="n">
        <v>2022</v>
      </c>
      <c r="B259" t="n">
        <v>9</v>
      </c>
      <c r="C259" s="24" t="n">
        <v>846.4400000000001</v>
      </c>
      <c r="D259" t="n">
        <v>5</v>
      </c>
    </row>
    <row r="260">
      <c r="A260" t="n">
        <v>2022</v>
      </c>
      <c r="B260" t="n">
        <v>9</v>
      </c>
      <c r="C260" s="24" t="n">
        <v>1167.5</v>
      </c>
      <c r="D260" t="n">
        <v>6</v>
      </c>
    </row>
    <row r="261">
      <c r="A261" t="n">
        <v>2022</v>
      </c>
      <c r="B261" t="n">
        <v>9</v>
      </c>
      <c r="C261" s="24" t="n">
        <v>42.54</v>
      </c>
      <c r="D261" t="n">
        <v>7</v>
      </c>
    </row>
    <row r="262">
      <c r="A262" t="n">
        <v>2022</v>
      </c>
      <c r="B262" t="n">
        <v>9</v>
      </c>
      <c r="C262" s="24" t="n">
        <v>6137.76</v>
      </c>
      <c r="D262" t="n">
        <v>8</v>
      </c>
    </row>
    <row r="263">
      <c r="A263" t="n">
        <v>2022</v>
      </c>
      <c r="B263" t="n">
        <v>9</v>
      </c>
      <c r="C263" s="24" t="n">
        <v>2478.74</v>
      </c>
      <c r="D263" t="n">
        <v>9</v>
      </c>
    </row>
    <row r="264">
      <c r="A264" t="n">
        <v>2022</v>
      </c>
      <c r="B264" t="n">
        <v>9</v>
      </c>
      <c r="C264" s="24" t="n">
        <v>1579.3</v>
      </c>
      <c r="D264" t="n">
        <v>10</v>
      </c>
    </row>
    <row r="265">
      <c r="A265" t="n">
        <v>2022</v>
      </c>
      <c r="B265" t="n">
        <v>9</v>
      </c>
      <c r="C265" s="24" t="n">
        <v>5056.3</v>
      </c>
      <c r="D265" t="n">
        <v>11</v>
      </c>
    </row>
    <row r="266">
      <c r="A266" t="n">
        <v>2022</v>
      </c>
      <c r="B266" t="n">
        <v>9</v>
      </c>
      <c r="C266" s="24" t="n">
        <v>5778.02</v>
      </c>
      <c r="D266" t="n">
        <v>12</v>
      </c>
    </row>
    <row r="267">
      <c r="A267" t="n">
        <v>2022</v>
      </c>
      <c r="B267" t="n">
        <v>9</v>
      </c>
      <c r="C267" s="24" t="n">
        <v>6135.57</v>
      </c>
      <c r="D267" t="n">
        <v>13</v>
      </c>
    </row>
    <row r="268">
      <c r="A268" t="n">
        <v>2022</v>
      </c>
      <c r="B268" t="n">
        <v>9</v>
      </c>
      <c r="C268" s="24" t="n">
        <v>2692.73</v>
      </c>
      <c r="D268" t="n">
        <v>14</v>
      </c>
    </row>
    <row r="269">
      <c r="A269" t="n">
        <v>2022</v>
      </c>
      <c r="B269" t="n">
        <v>9</v>
      </c>
      <c r="C269" s="24" t="n">
        <v>2007.89</v>
      </c>
      <c r="D269" t="n">
        <v>15</v>
      </c>
    </row>
    <row r="270">
      <c r="A270" t="n">
        <v>2022</v>
      </c>
      <c r="B270" t="n">
        <v>9</v>
      </c>
      <c r="C270" s="24" t="n">
        <v>2483.96</v>
      </c>
      <c r="D270" t="n">
        <v>16</v>
      </c>
    </row>
    <row r="271">
      <c r="A271" t="n">
        <v>2022</v>
      </c>
      <c r="B271" t="n">
        <v>9</v>
      </c>
      <c r="C271" s="24" t="n">
        <v>6172.37</v>
      </c>
      <c r="D271" t="n">
        <v>17</v>
      </c>
    </row>
    <row r="272">
      <c r="A272" t="n">
        <v>2022</v>
      </c>
      <c r="B272" t="n">
        <v>9</v>
      </c>
      <c r="C272" s="24" t="n">
        <v>2337.8</v>
      </c>
      <c r="D272" t="n">
        <v>18</v>
      </c>
    </row>
    <row r="273">
      <c r="A273" t="n">
        <v>2022</v>
      </c>
      <c r="B273" t="n">
        <v>9</v>
      </c>
      <c r="C273" s="24" t="n">
        <v>5804.05</v>
      </c>
      <c r="D273" t="n">
        <v>19</v>
      </c>
    </row>
    <row r="274">
      <c r="A274" t="n">
        <v>2022</v>
      </c>
      <c r="B274" t="n">
        <v>9</v>
      </c>
      <c r="C274" s="24" t="n">
        <v>1221.64</v>
      </c>
      <c r="D274" t="n">
        <v>20</v>
      </c>
    </row>
    <row r="275">
      <c r="A275" t="n">
        <v>2022</v>
      </c>
      <c r="B275" t="n">
        <v>9</v>
      </c>
      <c r="C275" s="24" t="n">
        <v>341.28</v>
      </c>
      <c r="D275" t="n">
        <v>21</v>
      </c>
    </row>
    <row r="276">
      <c r="A276" t="n">
        <v>2022</v>
      </c>
      <c r="B276" t="n">
        <v>9</v>
      </c>
      <c r="C276" s="24" t="n">
        <v>975.25</v>
      </c>
      <c r="D276" t="n">
        <v>22</v>
      </c>
    </row>
    <row r="277">
      <c r="A277" t="n">
        <v>2022</v>
      </c>
      <c r="B277" t="n">
        <v>9</v>
      </c>
      <c r="C277" s="24" t="n">
        <v>5916.8</v>
      </c>
      <c r="D277" t="n">
        <v>23</v>
      </c>
    </row>
    <row r="278">
      <c r="A278" t="n">
        <v>2022</v>
      </c>
      <c r="B278" t="n">
        <v>9</v>
      </c>
      <c r="C278" s="24" t="n">
        <v>335.35</v>
      </c>
      <c r="D278" t="n">
        <v>24</v>
      </c>
    </row>
    <row r="279">
      <c r="A279" t="n">
        <v>2022</v>
      </c>
      <c r="B279" t="n">
        <v>9</v>
      </c>
      <c r="C279" s="24" t="n">
        <v>4629.38</v>
      </c>
      <c r="D279" t="n">
        <v>25</v>
      </c>
    </row>
    <row r="280">
      <c r="A280" t="n">
        <v>2022</v>
      </c>
      <c r="B280" t="n">
        <v>9</v>
      </c>
      <c r="C280" s="24" t="n">
        <v>1147.77</v>
      </c>
      <c r="D280" t="n">
        <v>26</v>
      </c>
    </row>
    <row r="281">
      <c r="A281" t="n">
        <v>2022</v>
      </c>
      <c r="B281" t="n">
        <v>9</v>
      </c>
      <c r="C281" s="24" t="n">
        <v>4025.57</v>
      </c>
      <c r="D281" t="n">
        <v>27</v>
      </c>
    </row>
    <row r="282">
      <c r="A282" t="n">
        <v>2022</v>
      </c>
      <c r="B282" t="n">
        <v>9</v>
      </c>
      <c r="C282" s="24" t="n">
        <v>1673.09</v>
      </c>
      <c r="D282" t="n">
        <v>28</v>
      </c>
    </row>
    <row r="283">
      <c r="A283" t="n">
        <v>2022</v>
      </c>
      <c r="B283" t="n">
        <v>9</v>
      </c>
      <c r="C283" s="24" t="n">
        <v>1193.1</v>
      </c>
      <c r="D283" t="n">
        <v>29</v>
      </c>
    </row>
    <row r="284">
      <c r="A284" t="n">
        <v>2022</v>
      </c>
      <c r="B284" t="n">
        <v>9</v>
      </c>
      <c r="C284" s="24" t="n">
        <v>4311.29</v>
      </c>
      <c r="D284" t="n">
        <v>30</v>
      </c>
    </row>
    <row r="285">
      <c r="A285" t="n">
        <v>2022</v>
      </c>
      <c r="B285" t="n">
        <v>10</v>
      </c>
      <c r="C285" s="24" t="n">
        <v>1108.74</v>
      </c>
      <c r="D285" t="n">
        <v>1</v>
      </c>
    </row>
    <row r="286">
      <c r="A286" t="n">
        <v>2022</v>
      </c>
      <c r="B286" t="n">
        <v>10</v>
      </c>
      <c r="C286" s="24" t="n">
        <v>968.64</v>
      </c>
      <c r="D286" t="n">
        <v>2</v>
      </c>
    </row>
    <row r="287">
      <c r="A287" t="n">
        <v>2022</v>
      </c>
      <c r="B287" t="n">
        <v>10</v>
      </c>
      <c r="C287" s="24" t="n">
        <v>1150.91</v>
      </c>
      <c r="D287" t="n">
        <v>3</v>
      </c>
    </row>
    <row r="288">
      <c r="A288" t="n">
        <v>2022</v>
      </c>
      <c r="B288" t="n">
        <v>10</v>
      </c>
      <c r="C288" s="24" t="n">
        <v>6281.06</v>
      </c>
      <c r="D288" t="n">
        <v>4</v>
      </c>
    </row>
    <row r="289">
      <c r="A289" t="n">
        <v>2022</v>
      </c>
      <c r="B289" t="n">
        <v>10</v>
      </c>
      <c r="C289" s="24" t="n">
        <v>10237.02</v>
      </c>
      <c r="D289" t="n">
        <v>5</v>
      </c>
    </row>
    <row r="290">
      <c r="A290" t="n">
        <v>2022</v>
      </c>
      <c r="B290" t="n">
        <v>10</v>
      </c>
      <c r="C290" s="24" t="n">
        <v>2324.3</v>
      </c>
      <c r="D290" t="n">
        <v>6</v>
      </c>
    </row>
    <row r="291">
      <c r="A291" t="n">
        <v>2022</v>
      </c>
      <c r="B291" t="n">
        <v>10</v>
      </c>
      <c r="C291" s="24" t="n">
        <v>2254.11</v>
      </c>
      <c r="D291" t="n">
        <v>8</v>
      </c>
    </row>
    <row r="292">
      <c r="A292" t="n">
        <v>2022</v>
      </c>
      <c r="B292" t="n">
        <v>10</v>
      </c>
      <c r="C292" s="24" t="n">
        <v>5258.1</v>
      </c>
      <c r="D292" t="n">
        <v>9</v>
      </c>
    </row>
    <row r="293">
      <c r="A293" t="n">
        <v>2022</v>
      </c>
      <c r="B293" t="n">
        <v>10</v>
      </c>
      <c r="C293" s="24" t="n">
        <v>1160.7</v>
      </c>
      <c r="D293" t="n">
        <v>10</v>
      </c>
    </row>
    <row r="294">
      <c r="A294" t="n">
        <v>2022</v>
      </c>
      <c r="B294" t="n">
        <v>10</v>
      </c>
      <c r="C294" s="24" t="n">
        <v>744.51</v>
      </c>
      <c r="D294" t="n">
        <v>11</v>
      </c>
    </row>
    <row r="295">
      <c r="A295" t="n">
        <v>2022</v>
      </c>
      <c r="B295" t="n">
        <v>10</v>
      </c>
      <c r="C295" s="24" t="n">
        <v>6511.15</v>
      </c>
      <c r="D295" t="n">
        <v>12</v>
      </c>
    </row>
    <row r="296">
      <c r="A296" t="n">
        <v>2022</v>
      </c>
      <c r="B296" t="n">
        <v>10</v>
      </c>
      <c r="C296" s="24" t="n">
        <v>1405.83</v>
      </c>
      <c r="D296" t="n">
        <v>13</v>
      </c>
    </row>
    <row r="297">
      <c r="A297" t="n">
        <v>2022</v>
      </c>
      <c r="B297" t="n">
        <v>10</v>
      </c>
      <c r="C297" s="24" t="n">
        <v>1188.64</v>
      </c>
      <c r="D297" t="n">
        <v>14</v>
      </c>
    </row>
    <row r="298">
      <c r="A298" t="n">
        <v>2022</v>
      </c>
      <c r="B298" t="n">
        <v>10</v>
      </c>
      <c r="C298" s="24" t="n">
        <v>5937.36</v>
      </c>
      <c r="D298" t="n">
        <v>16</v>
      </c>
    </row>
    <row r="299">
      <c r="A299" t="n">
        <v>2022</v>
      </c>
      <c r="B299" t="n">
        <v>10</v>
      </c>
      <c r="C299" s="24" t="n">
        <v>5714.450000000001</v>
      </c>
      <c r="D299" t="n">
        <v>17</v>
      </c>
    </row>
    <row r="300">
      <c r="A300" t="n">
        <v>2022</v>
      </c>
      <c r="B300" t="n">
        <v>10</v>
      </c>
      <c r="C300" s="24" t="n">
        <v>6130.53</v>
      </c>
      <c r="D300" t="n">
        <v>18</v>
      </c>
    </row>
    <row r="301">
      <c r="A301" t="n">
        <v>2022</v>
      </c>
      <c r="B301" t="n">
        <v>10</v>
      </c>
      <c r="C301" s="24" t="n">
        <v>2087.91</v>
      </c>
      <c r="D301" t="n">
        <v>19</v>
      </c>
    </row>
    <row r="302">
      <c r="A302" t="n">
        <v>2022</v>
      </c>
      <c r="B302" t="n">
        <v>10</v>
      </c>
      <c r="C302" s="24" t="n">
        <v>12886.18</v>
      </c>
      <c r="D302" t="n">
        <v>20</v>
      </c>
    </row>
    <row r="303">
      <c r="A303" t="n">
        <v>2022</v>
      </c>
      <c r="B303" t="n">
        <v>10</v>
      </c>
      <c r="C303" s="24" t="n">
        <v>172.8</v>
      </c>
      <c r="D303" t="n">
        <v>21</v>
      </c>
    </row>
    <row r="304">
      <c r="A304" t="n">
        <v>2022</v>
      </c>
      <c r="B304" t="n">
        <v>10</v>
      </c>
      <c r="C304" s="24" t="n">
        <v>6628.16</v>
      </c>
      <c r="D304" t="n">
        <v>22</v>
      </c>
    </row>
    <row r="305">
      <c r="A305" t="n">
        <v>2022</v>
      </c>
      <c r="B305" t="n">
        <v>10</v>
      </c>
      <c r="C305" s="24" t="n">
        <v>5231.14</v>
      </c>
      <c r="D305" t="n">
        <v>23</v>
      </c>
    </row>
    <row r="306">
      <c r="A306" t="n">
        <v>2022</v>
      </c>
      <c r="B306" t="n">
        <v>10</v>
      </c>
      <c r="C306" s="24" t="n">
        <v>167.36</v>
      </c>
      <c r="D306" t="n">
        <v>24</v>
      </c>
    </row>
    <row r="307">
      <c r="A307" t="n">
        <v>2022</v>
      </c>
      <c r="B307" t="n">
        <v>10</v>
      </c>
      <c r="C307" s="24" t="n">
        <v>4866.67</v>
      </c>
      <c r="D307" t="n">
        <v>25</v>
      </c>
    </row>
    <row r="308">
      <c r="A308" t="n">
        <v>2022</v>
      </c>
      <c r="B308" t="n">
        <v>10</v>
      </c>
      <c r="C308" s="24" t="n">
        <v>9968.950000000001</v>
      </c>
      <c r="D308" t="n">
        <v>26</v>
      </c>
    </row>
    <row r="309">
      <c r="A309" t="n">
        <v>2022</v>
      </c>
      <c r="B309" t="n">
        <v>10</v>
      </c>
      <c r="C309" s="24" t="n">
        <v>1299.17</v>
      </c>
      <c r="D309" t="n">
        <v>27</v>
      </c>
    </row>
    <row r="310">
      <c r="A310" t="n">
        <v>2022</v>
      </c>
      <c r="B310" t="n">
        <v>10</v>
      </c>
      <c r="C310" s="24" t="n">
        <v>1503.48</v>
      </c>
      <c r="D310" t="n">
        <v>28</v>
      </c>
    </row>
    <row r="311">
      <c r="A311" t="n">
        <v>2022</v>
      </c>
      <c r="B311" t="n">
        <v>10</v>
      </c>
      <c r="C311" s="24" t="n">
        <v>3321.97</v>
      </c>
      <c r="D311" t="n">
        <v>29</v>
      </c>
    </row>
    <row r="312">
      <c r="A312" t="n">
        <v>2022</v>
      </c>
      <c r="B312" t="n">
        <v>10</v>
      </c>
      <c r="C312" s="24" t="n">
        <v>2775.41</v>
      </c>
      <c r="D312" t="n">
        <v>30</v>
      </c>
    </row>
    <row r="313">
      <c r="A313" t="n">
        <v>2022</v>
      </c>
      <c r="B313" t="n">
        <v>10</v>
      </c>
      <c r="C313" s="24" t="n">
        <v>3177.3</v>
      </c>
      <c r="D313" t="n">
        <v>31</v>
      </c>
    </row>
    <row r="314">
      <c r="A314" t="n">
        <v>2022</v>
      </c>
      <c r="B314" t="n">
        <v>11</v>
      </c>
      <c r="C314" s="24" t="n">
        <v>2067.21</v>
      </c>
      <c r="D314" t="n">
        <v>1</v>
      </c>
    </row>
    <row r="315">
      <c r="A315" t="n">
        <v>2022</v>
      </c>
      <c r="B315" t="n">
        <v>11</v>
      </c>
      <c r="C315" s="24" t="n">
        <v>3209.3</v>
      </c>
      <c r="D315" t="n">
        <v>2</v>
      </c>
    </row>
    <row r="316">
      <c r="A316" t="n">
        <v>2022</v>
      </c>
      <c r="B316" t="n">
        <v>11</v>
      </c>
      <c r="C316" s="24" t="n">
        <v>642.1799999999999</v>
      </c>
      <c r="D316" t="n">
        <v>3</v>
      </c>
    </row>
    <row r="317">
      <c r="A317" t="n">
        <v>2022</v>
      </c>
      <c r="B317" t="n">
        <v>11</v>
      </c>
      <c r="C317" s="24" t="n">
        <v>4566.98</v>
      </c>
      <c r="D317" t="n">
        <v>4</v>
      </c>
    </row>
    <row r="318">
      <c r="A318" t="n">
        <v>2022</v>
      </c>
      <c r="B318" t="n">
        <v>11</v>
      </c>
      <c r="C318" s="24" t="n">
        <v>1778.24</v>
      </c>
      <c r="D318" t="n">
        <v>5</v>
      </c>
    </row>
    <row r="319">
      <c r="A319" t="n">
        <v>2022</v>
      </c>
      <c r="B319" t="n">
        <v>11</v>
      </c>
      <c r="C319" s="24" t="n">
        <v>1729.95</v>
      </c>
      <c r="D319" t="n">
        <v>7</v>
      </c>
    </row>
    <row r="320">
      <c r="A320" t="n">
        <v>2022</v>
      </c>
      <c r="B320" t="n">
        <v>11</v>
      </c>
      <c r="C320" s="24" t="n">
        <v>4944.389999999999</v>
      </c>
      <c r="D320" t="n">
        <v>8</v>
      </c>
    </row>
    <row r="321">
      <c r="A321" t="n">
        <v>2022</v>
      </c>
      <c r="B321" t="n">
        <v>11</v>
      </c>
      <c r="C321" s="24" t="n">
        <v>1894.37</v>
      </c>
      <c r="D321" t="n">
        <v>9</v>
      </c>
    </row>
    <row r="322">
      <c r="A322" t="n">
        <v>2022</v>
      </c>
      <c r="B322" t="n">
        <v>11</v>
      </c>
      <c r="C322" s="24" t="n">
        <v>1524.58</v>
      </c>
      <c r="D322" t="n">
        <v>10</v>
      </c>
    </row>
    <row r="323">
      <c r="A323" t="n">
        <v>2022</v>
      </c>
      <c r="B323" t="n">
        <v>11</v>
      </c>
      <c r="C323" s="24" t="n">
        <v>5110.41</v>
      </c>
      <c r="D323" t="n">
        <v>11</v>
      </c>
    </row>
    <row r="324">
      <c r="A324" t="n">
        <v>2022</v>
      </c>
      <c r="B324" t="n">
        <v>11</v>
      </c>
      <c r="C324" s="24" t="n">
        <v>7185.62</v>
      </c>
      <c r="D324" t="n">
        <v>12</v>
      </c>
    </row>
    <row r="325">
      <c r="A325" t="n">
        <v>2022</v>
      </c>
      <c r="B325" t="n">
        <v>11</v>
      </c>
      <c r="C325" s="24" t="n">
        <v>2671.36</v>
      </c>
      <c r="D325" t="n">
        <v>13</v>
      </c>
    </row>
    <row r="326">
      <c r="A326" t="n">
        <v>2022</v>
      </c>
      <c r="B326" t="n">
        <v>11</v>
      </c>
      <c r="C326" s="24" t="n">
        <v>743.28</v>
      </c>
      <c r="D326" t="n">
        <v>14</v>
      </c>
    </row>
    <row r="327">
      <c r="A327" t="n">
        <v>2022</v>
      </c>
      <c r="B327" t="n">
        <v>11</v>
      </c>
      <c r="C327" s="24" t="n">
        <v>1496.88</v>
      </c>
      <c r="D327" t="n">
        <v>15</v>
      </c>
    </row>
    <row r="328">
      <c r="A328" t="n">
        <v>2022</v>
      </c>
      <c r="B328" t="n">
        <v>11</v>
      </c>
      <c r="C328" s="24" t="n">
        <v>3341.14</v>
      </c>
      <c r="D328" t="n">
        <v>16</v>
      </c>
    </row>
    <row r="329">
      <c r="A329" t="n">
        <v>2022</v>
      </c>
      <c r="B329" t="n">
        <v>11</v>
      </c>
      <c r="C329" s="24" t="n">
        <v>1995.68</v>
      </c>
      <c r="D329" t="n">
        <v>17</v>
      </c>
    </row>
    <row r="330">
      <c r="A330" t="n">
        <v>2022</v>
      </c>
      <c r="B330" t="n">
        <v>11</v>
      </c>
      <c r="C330" s="24" t="n">
        <v>1825.13</v>
      </c>
      <c r="D330" t="n">
        <v>18</v>
      </c>
    </row>
    <row r="331">
      <c r="A331" t="n">
        <v>2022</v>
      </c>
      <c r="B331" t="n">
        <v>11</v>
      </c>
      <c r="C331" s="24" t="n">
        <v>8873.83</v>
      </c>
      <c r="D331" t="n">
        <v>19</v>
      </c>
    </row>
    <row r="332">
      <c r="A332" t="n">
        <v>2022</v>
      </c>
      <c r="B332" t="n">
        <v>11</v>
      </c>
      <c r="C332" s="24" t="n">
        <v>5954.17</v>
      </c>
      <c r="D332" t="n">
        <v>20</v>
      </c>
    </row>
    <row r="333">
      <c r="A333" t="n">
        <v>2022</v>
      </c>
      <c r="B333" t="n">
        <v>11</v>
      </c>
      <c r="C333" s="24" t="n">
        <v>8892.98</v>
      </c>
      <c r="D333" t="n">
        <v>21</v>
      </c>
    </row>
    <row r="334">
      <c r="A334" t="n">
        <v>2022</v>
      </c>
      <c r="B334" t="n">
        <v>11</v>
      </c>
      <c r="C334" s="24" t="n">
        <v>1192.16</v>
      </c>
      <c r="D334" t="n">
        <v>22</v>
      </c>
    </row>
    <row r="335">
      <c r="A335" t="n">
        <v>2022</v>
      </c>
      <c r="B335" t="n">
        <v>11</v>
      </c>
      <c r="C335" s="24" t="n">
        <v>5822.03</v>
      </c>
      <c r="D335" t="n">
        <v>23</v>
      </c>
    </row>
    <row r="336">
      <c r="A336" t="n">
        <v>2022</v>
      </c>
      <c r="B336" t="n">
        <v>11</v>
      </c>
      <c r="C336" s="24" t="n">
        <v>6780.7</v>
      </c>
      <c r="D336" t="n">
        <v>24</v>
      </c>
    </row>
    <row r="337">
      <c r="A337" t="n">
        <v>2022</v>
      </c>
      <c r="B337" t="n">
        <v>11</v>
      </c>
      <c r="C337" s="24" t="n">
        <v>1510.9</v>
      </c>
      <c r="D337" t="n">
        <v>25</v>
      </c>
    </row>
    <row r="338">
      <c r="A338" t="n">
        <v>2022</v>
      </c>
      <c r="B338" t="n">
        <v>11</v>
      </c>
      <c r="C338" s="24" t="n">
        <v>11537.49</v>
      </c>
      <c r="D338" t="n">
        <v>26</v>
      </c>
    </row>
    <row r="339">
      <c r="A339" t="n">
        <v>2022</v>
      </c>
      <c r="B339" t="n">
        <v>11</v>
      </c>
      <c r="C339" s="24" t="n">
        <v>4365.32</v>
      </c>
      <c r="D339" t="n">
        <v>27</v>
      </c>
    </row>
    <row r="340">
      <c r="A340" t="n">
        <v>2022</v>
      </c>
      <c r="B340" t="n">
        <v>11</v>
      </c>
      <c r="C340" s="24" t="n">
        <v>254.61</v>
      </c>
      <c r="D340" t="n">
        <v>28</v>
      </c>
    </row>
    <row r="341">
      <c r="A341" t="n">
        <v>2022</v>
      </c>
      <c r="B341" t="n">
        <v>11</v>
      </c>
      <c r="C341" s="24" t="n">
        <v>1347.95</v>
      </c>
      <c r="D341" t="n">
        <v>29</v>
      </c>
    </row>
    <row r="342">
      <c r="A342" t="n">
        <v>2022</v>
      </c>
      <c r="B342" t="n">
        <v>11</v>
      </c>
      <c r="C342" s="24" t="n">
        <v>5092.3</v>
      </c>
      <c r="D342" t="n">
        <v>30</v>
      </c>
    </row>
    <row r="343">
      <c r="A343" t="n">
        <v>2022</v>
      </c>
      <c r="B343" t="n">
        <v>12</v>
      </c>
      <c r="C343" s="24" t="n">
        <v>3341.5</v>
      </c>
      <c r="D343" t="n">
        <v>1</v>
      </c>
    </row>
    <row r="344">
      <c r="A344" t="n">
        <v>2022</v>
      </c>
      <c r="B344" t="n">
        <v>12</v>
      </c>
      <c r="C344" s="24" t="n">
        <v>6764.67</v>
      </c>
      <c r="D344" t="n">
        <v>2</v>
      </c>
    </row>
    <row r="345">
      <c r="A345" t="n">
        <v>2022</v>
      </c>
      <c r="B345" t="n">
        <v>12</v>
      </c>
      <c r="C345" s="24" t="n">
        <v>795.55</v>
      </c>
      <c r="D345" t="n">
        <v>3</v>
      </c>
    </row>
    <row r="346">
      <c r="A346" t="n">
        <v>2022</v>
      </c>
      <c r="B346" t="n">
        <v>12</v>
      </c>
      <c r="C346" s="24" t="n">
        <v>6132.37</v>
      </c>
      <c r="D346" t="n">
        <v>4</v>
      </c>
    </row>
    <row r="347">
      <c r="A347" t="n">
        <v>2022</v>
      </c>
      <c r="B347" t="n">
        <v>12</v>
      </c>
      <c r="C347" s="24" t="n">
        <v>1230.9</v>
      </c>
      <c r="D347" t="n">
        <v>5</v>
      </c>
    </row>
    <row r="348">
      <c r="A348" t="n">
        <v>2022</v>
      </c>
      <c r="B348" t="n">
        <v>12</v>
      </c>
      <c r="C348" s="24" t="n">
        <v>1011.27</v>
      </c>
      <c r="D348" t="n">
        <v>6</v>
      </c>
    </row>
    <row r="349">
      <c r="A349" t="n">
        <v>2022</v>
      </c>
      <c r="B349" t="n">
        <v>12</v>
      </c>
      <c r="C349" s="24" t="n">
        <v>2622.78</v>
      </c>
      <c r="D349" t="n">
        <v>7</v>
      </c>
    </row>
    <row r="350">
      <c r="A350" t="n">
        <v>2022</v>
      </c>
      <c r="B350" t="n">
        <v>12</v>
      </c>
      <c r="C350" s="24" t="n">
        <v>1275.13</v>
      </c>
      <c r="D350" t="n">
        <v>8</v>
      </c>
    </row>
    <row r="351">
      <c r="A351" t="n">
        <v>2022</v>
      </c>
      <c r="B351" t="n">
        <v>12</v>
      </c>
      <c r="C351" s="24" t="n">
        <v>3004.11</v>
      </c>
      <c r="D351" t="n">
        <v>9</v>
      </c>
    </row>
    <row r="352">
      <c r="A352" t="n">
        <v>2022</v>
      </c>
      <c r="B352" t="n">
        <v>12</v>
      </c>
      <c r="C352" s="24" t="n">
        <v>1611.01</v>
      </c>
      <c r="D352" t="n">
        <v>10</v>
      </c>
    </row>
    <row r="353">
      <c r="A353" t="n">
        <v>2022</v>
      </c>
      <c r="B353" t="n">
        <v>12</v>
      </c>
      <c r="C353" s="24" t="n">
        <v>1030.2</v>
      </c>
      <c r="D353" t="n">
        <v>11</v>
      </c>
    </row>
    <row r="354">
      <c r="A354" t="n">
        <v>2022</v>
      </c>
      <c r="B354" t="n">
        <v>12</v>
      </c>
      <c r="C354" s="24" t="n">
        <v>4837.860000000001</v>
      </c>
      <c r="D354" t="n">
        <v>12</v>
      </c>
    </row>
    <row r="355">
      <c r="A355" t="n">
        <v>2022</v>
      </c>
      <c r="B355" t="n">
        <v>12</v>
      </c>
      <c r="C355" s="24" t="n">
        <v>2170.86</v>
      </c>
      <c r="D355" t="n">
        <v>14</v>
      </c>
    </row>
    <row r="356">
      <c r="A356" t="n">
        <v>2022</v>
      </c>
      <c r="B356" t="n">
        <v>12</v>
      </c>
      <c r="C356" s="24" t="n">
        <v>1617.09</v>
      </c>
      <c r="D356" t="n">
        <v>15</v>
      </c>
    </row>
    <row r="357">
      <c r="A357" t="n">
        <v>2022</v>
      </c>
      <c r="B357" t="n">
        <v>12</v>
      </c>
      <c r="C357" s="24" t="n">
        <v>4895.09</v>
      </c>
      <c r="D357" t="n">
        <v>16</v>
      </c>
    </row>
    <row r="358">
      <c r="A358" t="n">
        <v>2022</v>
      </c>
      <c r="B358" t="n">
        <v>12</v>
      </c>
      <c r="C358" s="24" t="n">
        <v>4668.41</v>
      </c>
      <c r="D358" t="n">
        <v>17</v>
      </c>
    </row>
    <row r="359">
      <c r="A359" t="n">
        <v>2022</v>
      </c>
      <c r="B359" t="n">
        <v>12</v>
      </c>
      <c r="C359" s="24" t="n">
        <v>1380.05</v>
      </c>
      <c r="D359" t="n">
        <v>18</v>
      </c>
    </row>
    <row r="360">
      <c r="A360" t="n">
        <v>2022</v>
      </c>
      <c r="B360" t="n">
        <v>12</v>
      </c>
      <c r="C360" s="24" t="n">
        <v>1058.21</v>
      </c>
      <c r="D360" t="n">
        <v>19</v>
      </c>
    </row>
    <row r="361">
      <c r="A361" t="n">
        <v>2022</v>
      </c>
      <c r="B361" t="n">
        <v>12</v>
      </c>
      <c r="C361" s="24" t="n">
        <v>39.36</v>
      </c>
      <c r="D361" t="n">
        <v>20</v>
      </c>
    </row>
    <row r="362">
      <c r="A362" t="n">
        <v>2022</v>
      </c>
      <c r="B362" t="n">
        <v>12</v>
      </c>
      <c r="C362" s="24" t="n">
        <v>4639.84</v>
      </c>
      <c r="D362" t="n">
        <v>21</v>
      </c>
    </row>
    <row r="363">
      <c r="A363" t="n">
        <v>2022</v>
      </c>
      <c r="B363" t="n">
        <v>12</v>
      </c>
      <c r="C363" s="24" t="n">
        <v>583.75</v>
      </c>
      <c r="D363" t="n">
        <v>22</v>
      </c>
    </row>
    <row r="364">
      <c r="A364" t="n">
        <v>2022</v>
      </c>
      <c r="B364" t="n">
        <v>12</v>
      </c>
      <c r="C364" s="24" t="n">
        <v>379.66</v>
      </c>
      <c r="D364" t="n">
        <v>23</v>
      </c>
    </row>
    <row r="365">
      <c r="A365" t="n">
        <v>2022</v>
      </c>
      <c r="B365" t="n">
        <v>12</v>
      </c>
      <c r="C365" s="24" t="n">
        <v>984.6</v>
      </c>
      <c r="D365" t="n">
        <v>24</v>
      </c>
    </row>
    <row r="366">
      <c r="A366" t="n">
        <v>2022</v>
      </c>
      <c r="B366" t="n">
        <v>12</v>
      </c>
      <c r="C366" s="24" t="n">
        <v>6472.03</v>
      </c>
      <c r="D366" t="n">
        <v>25</v>
      </c>
    </row>
    <row r="367">
      <c r="A367" t="n">
        <v>2022</v>
      </c>
      <c r="B367" t="n">
        <v>12</v>
      </c>
      <c r="C367" s="24" t="n">
        <v>4026.48</v>
      </c>
      <c r="D367" t="n">
        <v>26</v>
      </c>
    </row>
    <row r="368">
      <c r="A368" t="n">
        <v>2022</v>
      </c>
      <c r="B368" t="n">
        <v>12</v>
      </c>
      <c r="C368" s="24" t="n">
        <v>117.04</v>
      </c>
      <c r="D368" t="n">
        <v>27</v>
      </c>
    </row>
    <row r="369">
      <c r="A369" t="n">
        <v>2022</v>
      </c>
      <c r="B369" t="n">
        <v>12</v>
      </c>
      <c r="C369" s="24" t="n">
        <v>674.54</v>
      </c>
      <c r="D369" t="n">
        <v>28</v>
      </c>
    </row>
    <row r="370">
      <c r="A370" t="n">
        <v>2022</v>
      </c>
      <c r="B370" t="n">
        <v>12</v>
      </c>
      <c r="C370" s="24" t="n">
        <v>5972.45</v>
      </c>
      <c r="D370" t="n">
        <v>29</v>
      </c>
    </row>
    <row r="371">
      <c r="A371" t="n">
        <v>2022</v>
      </c>
      <c r="B371" t="n">
        <v>12</v>
      </c>
      <c r="C371" s="24" t="n">
        <v>556.48</v>
      </c>
      <c r="D371" t="n">
        <v>30</v>
      </c>
    </row>
    <row r="372">
      <c r="A372" t="n">
        <v>2022</v>
      </c>
      <c r="B372" t="n">
        <v>12</v>
      </c>
      <c r="C372" s="24" t="n">
        <v>4596.450000000001</v>
      </c>
      <c r="D372" t="n">
        <v>31</v>
      </c>
    </row>
    <row r="373">
      <c r="A373" t="n">
        <v>2023</v>
      </c>
      <c r="B373" t="n">
        <v>1</v>
      </c>
      <c r="C373" s="24" t="n">
        <v>1555.27</v>
      </c>
      <c r="D373" t="n">
        <v>1</v>
      </c>
    </row>
    <row r="374">
      <c r="A374" t="n">
        <v>2023</v>
      </c>
      <c r="B374" t="n">
        <v>1</v>
      </c>
      <c r="C374" s="24" t="n">
        <v>2540.13</v>
      </c>
      <c r="D374" t="n">
        <v>2</v>
      </c>
    </row>
    <row r="375">
      <c r="A375" t="n">
        <v>2023</v>
      </c>
      <c r="B375" t="n">
        <v>1</v>
      </c>
      <c r="C375" s="24" t="n">
        <v>6733.78</v>
      </c>
      <c r="D375" t="n">
        <v>3</v>
      </c>
    </row>
    <row r="376">
      <c r="A376" t="n">
        <v>2023</v>
      </c>
      <c r="B376" t="n">
        <v>1</v>
      </c>
      <c r="C376" s="24" t="n">
        <v>10506.92</v>
      </c>
      <c r="D376" t="n">
        <v>4</v>
      </c>
    </row>
    <row r="377">
      <c r="A377" t="n">
        <v>2023</v>
      </c>
      <c r="B377" t="n">
        <v>1</v>
      </c>
      <c r="C377" s="24" t="n">
        <v>2541.5</v>
      </c>
      <c r="D377" t="n">
        <v>5</v>
      </c>
    </row>
    <row r="378">
      <c r="A378" t="n">
        <v>2023</v>
      </c>
      <c r="B378" t="n">
        <v>1</v>
      </c>
      <c r="C378" s="24" t="n">
        <v>1333.98</v>
      </c>
      <c r="D378" t="n">
        <v>6</v>
      </c>
    </row>
    <row r="379">
      <c r="A379" t="n">
        <v>2023</v>
      </c>
      <c r="B379" t="n">
        <v>1</v>
      </c>
      <c r="C379" s="24" t="n">
        <v>2061.64</v>
      </c>
      <c r="D379" t="n">
        <v>7</v>
      </c>
    </row>
    <row r="380">
      <c r="A380" t="n">
        <v>2023</v>
      </c>
      <c r="B380" t="n">
        <v>1</v>
      </c>
      <c r="C380" s="24" t="n">
        <v>2419.37</v>
      </c>
      <c r="D380" t="n">
        <v>8</v>
      </c>
    </row>
    <row r="381">
      <c r="A381" t="n">
        <v>2023</v>
      </c>
      <c r="B381" t="n">
        <v>1</v>
      </c>
      <c r="C381" s="24" t="n">
        <v>2726.32</v>
      </c>
      <c r="D381" t="n">
        <v>9</v>
      </c>
    </row>
    <row r="382">
      <c r="A382" t="n">
        <v>2023</v>
      </c>
      <c r="B382" t="n">
        <v>1</v>
      </c>
      <c r="C382" s="24" t="n">
        <v>6023.809999999999</v>
      </c>
      <c r="D382" t="n">
        <v>10</v>
      </c>
    </row>
    <row r="383">
      <c r="A383" t="n">
        <v>2023</v>
      </c>
      <c r="B383" t="n">
        <v>1</v>
      </c>
      <c r="C383" s="24" t="n">
        <v>4382.58</v>
      </c>
      <c r="D383" t="n">
        <v>11</v>
      </c>
    </row>
    <row r="384">
      <c r="A384" t="n">
        <v>2023</v>
      </c>
      <c r="B384" t="n">
        <v>1</v>
      </c>
      <c r="C384" s="24" t="n">
        <v>3183.44</v>
      </c>
      <c r="D384" t="n">
        <v>12</v>
      </c>
    </row>
    <row r="385">
      <c r="A385" t="n">
        <v>2023</v>
      </c>
      <c r="B385" t="n">
        <v>1</v>
      </c>
      <c r="C385" s="24" t="n">
        <v>1586.58</v>
      </c>
      <c r="D385" t="n">
        <v>13</v>
      </c>
    </row>
    <row r="386">
      <c r="A386" t="n">
        <v>2023</v>
      </c>
      <c r="B386" t="n">
        <v>1</v>
      </c>
      <c r="C386" s="24" t="n">
        <v>2805.58</v>
      </c>
      <c r="D386" t="n">
        <v>14</v>
      </c>
    </row>
    <row r="387">
      <c r="A387" t="n">
        <v>2023</v>
      </c>
      <c r="B387" t="n">
        <v>1</v>
      </c>
      <c r="C387" s="24" t="n">
        <v>3810.49</v>
      </c>
      <c r="D387" t="n">
        <v>15</v>
      </c>
    </row>
    <row r="388">
      <c r="A388" t="n">
        <v>2023</v>
      </c>
      <c r="B388" t="n">
        <v>1</v>
      </c>
      <c r="C388" s="24" t="n">
        <v>7336.09</v>
      </c>
      <c r="D388" t="n">
        <v>16</v>
      </c>
    </row>
    <row r="389">
      <c r="A389" t="n">
        <v>2023</v>
      </c>
      <c r="B389" t="n">
        <v>1</v>
      </c>
      <c r="C389" s="24" t="n">
        <v>1644.18</v>
      </c>
      <c r="D389" t="n">
        <v>17</v>
      </c>
    </row>
    <row r="390">
      <c r="A390" t="n">
        <v>2023</v>
      </c>
      <c r="B390" t="n">
        <v>1</v>
      </c>
      <c r="C390" s="24" t="n">
        <v>4149.09</v>
      </c>
      <c r="D390" t="n">
        <v>18</v>
      </c>
    </row>
    <row r="391">
      <c r="A391" t="n">
        <v>2023</v>
      </c>
      <c r="B391" t="n">
        <v>1</v>
      </c>
      <c r="C391" s="24" t="n">
        <v>3113.37</v>
      </c>
      <c r="D391" t="n">
        <v>19</v>
      </c>
    </row>
    <row r="392">
      <c r="A392" t="n">
        <v>2023</v>
      </c>
      <c r="B392" t="n">
        <v>1</v>
      </c>
      <c r="C392" s="24" t="n">
        <v>1713.42</v>
      </c>
      <c r="D392" t="n">
        <v>20</v>
      </c>
    </row>
    <row r="393">
      <c r="A393" t="n">
        <v>2023</v>
      </c>
      <c r="B393" t="n">
        <v>1</v>
      </c>
      <c r="C393" s="24" t="n">
        <v>896.8099999999999</v>
      </c>
      <c r="D393" t="n">
        <v>21</v>
      </c>
    </row>
    <row r="394">
      <c r="A394" t="n">
        <v>2023</v>
      </c>
      <c r="B394" t="n">
        <v>1</v>
      </c>
      <c r="C394" s="24" t="n">
        <v>297.7</v>
      </c>
      <c r="D394" t="n">
        <v>22</v>
      </c>
    </row>
    <row r="395">
      <c r="A395" t="n">
        <v>2023</v>
      </c>
      <c r="B395" t="n">
        <v>1</v>
      </c>
      <c r="C395" s="24" t="n">
        <v>6251.62</v>
      </c>
      <c r="D395" t="n">
        <v>23</v>
      </c>
    </row>
    <row r="396">
      <c r="A396" t="n">
        <v>2023</v>
      </c>
      <c r="B396" t="n">
        <v>1</v>
      </c>
      <c r="C396" s="24" t="n">
        <v>4542.969999999999</v>
      </c>
      <c r="D396" t="n">
        <v>24</v>
      </c>
    </row>
    <row r="397">
      <c r="A397" t="n">
        <v>2023</v>
      </c>
      <c r="B397" t="n">
        <v>1</v>
      </c>
      <c r="C397" s="24" t="n">
        <v>1397.31</v>
      </c>
      <c r="D397" t="n">
        <v>26</v>
      </c>
    </row>
    <row r="398">
      <c r="A398" t="n">
        <v>2023</v>
      </c>
      <c r="B398" t="n">
        <v>1</v>
      </c>
      <c r="C398" s="24" t="n">
        <v>956.9400000000001</v>
      </c>
      <c r="D398" t="n">
        <v>27</v>
      </c>
    </row>
    <row r="399">
      <c r="A399" t="n">
        <v>2023</v>
      </c>
      <c r="B399" t="n">
        <v>1</v>
      </c>
      <c r="C399" s="24" t="n">
        <v>5475.32</v>
      </c>
      <c r="D399" t="n">
        <v>28</v>
      </c>
    </row>
    <row r="400">
      <c r="A400" t="n">
        <v>2023</v>
      </c>
      <c r="B400" t="n">
        <v>1</v>
      </c>
      <c r="C400" s="24" t="n">
        <v>1829.89</v>
      </c>
      <c r="D400" t="n">
        <v>29</v>
      </c>
    </row>
    <row r="401">
      <c r="A401" t="n">
        <v>2023</v>
      </c>
      <c r="B401" t="n">
        <v>1</v>
      </c>
      <c r="C401" s="24" t="n">
        <v>2742.63</v>
      </c>
      <c r="D401" t="n">
        <v>30</v>
      </c>
    </row>
    <row r="402">
      <c r="A402" t="n">
        <v>2023</v>
      </c>
      <c r="B402" t="n">
        <v>1</v>
      </c>
      <c r="C402" s="24" t="n">
        <v>6037.85</v>
      </c>
      <c r="D402" t="n">
        <v>31</v>
      </c>
    </row>
    <row r="403">
      <c r="A403" t="n">
        <v>2023</v>
      </c>
      <c r="B403" t="n">
        <v>2</v>
      </c>
      <c r="C403" s="24" t="n">
        <v>3218.07</v>
      </c>
      <c r="D403" t="n">
        <v>1</v>
      </c>
    </row>
    <row r="404">
      <c r="A404" t="n">
        <v>2023</v>
      </c>
      <c r="B404" t="n">
        <v>2</v>
      </c>
      <c r="C404" s="24" t="n">
        <v>2229.28</v>
      </c>
      <c r="D404" t="n">
        <v>2</v>
      </c>
    </row>
    <row r="405">
      <c r="A405" t="n">
        <v>2023</v>
      </c>
      <c r="B405" t="n">
        <v>2</v>
      </c>
      <c r="C405" s="24" t="n">
        <v>1543.76</v>
      </c>
      <c r="D405" t="n">
        <v>3</v>
      </c>
    </row>
    <row r="406">
      <c r="A406" t="n">
        <v>2023</v>
      </c>
      <c r="B406" t="n">
        <v>2</v>
      </c>
      <c r="C406" s="24" t="n">
        <v>1007</v>
      </c>
      <c r="D406" t="n">
        <v>4</v>
      </c>
    </row>
    <row r="407">
      <c r="A407" t="n">
        <v>2023</v>
      </c>
      <c r="B407" t="n">
        <v>2</v>
      </c>
      <c r="C407" s="24" t="n">
        <v>6928.3</v>
      </c>
      <c r="D407" t="n">
        <v>5</v>
      </c>
    </row>
    <row r="408">
      <c r="A408" t="n">
        <v>2023</v>
      </c>
      <c r="B408" t="n">
        <v>2</v>
      </c>
      <c r="C408" s="24" t="n">
        <v>3467.4</v>
      </c>
      <c r="D408" t="n">
        <v>6</v>
      </c>
    </row>
    <row r="409">
      <c r="A409" t="n">
        <v>2023</v>
      </c>
      <c r="B409" t="n">
        <v>2</v>
      </c>
      <c r="C409" s="24" t="n">
        <v>6917.32</v>
      </c>
      <c r="D409" t="n">
        <v>7</v>
      </c>
    </row>
    <row r="410">
      <c r="A410" t="n">
        <v>2023</v>
      </c>
      <c r="B410" t="n">
        <v>2</v>
      </c>
      <c r="C410" s="24" t="n">
        <v>2319.09</v>
      </c>
      <c r="D410" t="n">
        <v>8</v>
      </c>
    </row>
    <row r="411">
      <c r="A411" t="n">
        <v>2023</v>
      </c>
      <c r="B411" t="n">
        <v>2</v>
      </c>
      <c r="C411" s="24" t="n">
        <v>6180.53</v>
      </c>
      <c r="D411" t="n">
        <v>9</v>
      </c>
    </row>
    <row r="412">
      <c r="A412" t="n">
        <v>2023</v>
      </c>
      <c r="B412" t="n">
        <v>2</v>
      </c>
      <c r="C412" s="24" t="n">
        <v>2684.1</v>
      </c>
      <c r="D412" t="n">
        <v>10</v>
      </c>
    </row>
    <row r="413">
      <c r="A413" t="n">
        <v>2023</v>
      </c>
      <c r="B413" t="n">
        <v>2</v>
      </c>
      <c r="C413" s="24" t="n">
        <v>3922.97</v>
      </c>
      <c r="D413" t="n">
        <v>11</v>
      </c>
    </row>
    <row r="414">
      <c r="A414" t="n">
        <v>2023</v>
      </c>
      <c r="B414" t="n">
        <v>2</v>
      </c>
      <c r="C414" s="24" t="n">
        <v>2001.58</v>
      </c>
      <c r="D414" t="n">
        <v>12</v>
      </c>
    </row>
    <row r="415">
      <c r="A415" t="n">
        <v>2023</v>
      </c>
      <c r="B415" t="n">
        <v>2</v>
      </c>
      <c r="C415" s="24" t="n">
        <v>3768.12</v>
      </c>
      <c r="D415" t="n">
        <v>13</v>
      </c>
    </row>
    <row r="416">
      <c r="A416" t="n">
        <v>2023</v>
      </c>
      <c r="B416" t="n">
        <v>2</v>
      </c>
      <c r="C416" s="24" t="n">
        <v>2798.58</v>
      </c>
      <c r="D416" t="n">
        <v>14</v>
      </c>
    </row>
    <row r="417">
      <c r="A417" t="n">
        <v>2023</v>
      </c>
      <c r="B417" t="n">
        <v>2</v>
      </c>
      <c r="C417" s="24" t="n">
        <v>224.22</v>
      </c>
      <c r="D417" t="n">
        <v>15</v>
      </c>
    </row>
    <row r="418">
      <c r="A418" t="n">
        <v>2023</v>
      </c>
      <c r="B418" t="n">
        <v>2</v>
      </c>
      <c r="C418" s="24" t="n">
        <v>465.01</v>
      </c>
      <c r="D418" t="n">
        <v>16</v>
      </c>
    </row>
    <row r="419">
      <c r="A419" t="n">
        <v>2023</v>
      </c>
      <c r="B419" t="n">
        <v>2</v>
      </c>
      <c r="C419" s="24" t="n">
        <v>1389.85</v>
      </c>
      <c r="D419" t="n">
        <v>17</v>
      </c>
    </row>
    <row r="420">
      <c r="A420" t="n">
        <v>2023</v>
      </c>
      <c r="B420" t="n">
        <v>2</v>
      </c>
      <c r="C420" s="24" t="n">
        <v>2015.97</v>
      </c>
      <c r="D420" t="n">
        <v>18</v>
      </c>
    </row>
    <row r="421">
      <c r="A421" t="n">
        <v>2023</v>
      </c>
      <c r="B421" t="n">
        <v>2</v>
      </c>
      <c r="C421" s="24" t="n">
        <v>2282.56</v>
      </c>
      <c r="D421" t="n">
        <v>19</v>
      </c>
    </row>
    <row r="422">
      <c r="A422" t="n">
        <v>2023</v>
      </c>
      <c r="B422" t="n">
        <v>2</v>
      </c>
      <c r="C422" s="24" t="n">
        <v>2795.85</v>
      </c>
      <c r="D422" t="n">
        <v>20</v>
      </c>
    </row>
    <row r="423">
      <c r="A423" t="n">
        <v>2023</v>
      </c>
      <c r="B423" t="n">
        <v>2</v>
      </c>
      <c r="C423" s="24" t="n">
        <v>3378.72</v>
      </c>
      <c r="D423" t="n">
        <v>21</v>
      </c>
    </row>
    <row r="424">
      <c r="A424" t="n">
        <v>2023</v>
      </c>
      <c r="B424" t="n">
        <v>2</v>
      </c>
      <c r="C424" s="24" t="n">
        <v>200.94</v>
      </c>
      <c r="D424" t="n">
        <v>22</v>
      </c>
    </row>
    <row r="425">
      <c r="A425" t="n">
        <v>2023</v>
      </c>
      <c r="B425" t="n">
        <v>2</v>
      </c>
      <c r="C425" s="24" t="n">
        <v>1485.55</v>
      </c>
      <c r="D425" t="n">
        <v>23</v>
      </c>
    </row>
    <row r="426">
      <c r="A426" t="n">
        <v>2023</v>
      </c>
      <c r="B426" t="n">
        <v>2</v>
      </c>
      <c r="C426" s="24" t="n">
        <v>2723.84</v>
      </c>
      <c r="D426" t="n">
        <v>25</v>
      </c>
    </row>
    <row r="427">
      <c r="A427" t="n">
        <v>2023</v>
      </c>
      <c r="B427" t="n">
        <v>2</v>
      </c>
      <c r="C427" s="24" t="n">
        <v>2937.72</v>
      </c>
      <c r="D427" t="n">
        <v>26</v>
      </c>
    </row>
    <row r="428">
      <c r="A428" t="n">
        <v>2023</v>
      </c>
      <c r="B428" t="n">
        <v>2</v>
      </c>
      <c r="C428" s="24" t="n">
        <v>5212.05</v>
      </c>
      <c r="D428" t="n">
        <v>27</v>
      </c>
    </row>
    <row r="429">
      <c r="A429" t="n">
        <v>2023</v>
      </c>
      <c r="B429" t="n">
        <v>2</v>
      </c>
      <c r="C429" s="24" t="n">
        <v>6131.790000000001</v>
      </c>
      <c r="D429" t="n">
        <v>28</v>
      </c>
    </row>
    <row r="430">
      <c r="A430" t="n">
        <v>2023</v>
      </c>
      <c r="B430" t="n">
        <v>3</v>
      </c>
      <c r="C430" s="24" t="n">
        <v>7528.2</v>
      </c>
      <c r="D430" t="n">
        <v>1</v>
      </c>
    </row>
    <row r="431">
      <c r="A431" t="n">
        <v>2023</v>
      </c>
      <c r="B431" t="n">
        <v>3</v>
      </c>
      <c r="C431" s="24" t="n">
        <v>634.4400000000001</v>
      </c>
      <c r="D431" t="n">
        <v>2</v>
      </c>
    </row>
    <row r="432">
      <c r="A432" t="n">
        <v>2023</v>
      </c>
      <c r="B432" t="n">
        <v>3</v>
      </c>
      <c r="C432" s="24" t="n">
        <v>2762.56</v>
      </c>
      <c r="D432" t="n">
        <v>3</v>
      </c>
    </row>
    <row r="433">
      <c r="A433" t="n">
        <v>2023</v>
      </c>
      <c r="B433" t="n">
        <v>3</v>
      </c>
      <c r="C433" s="24" t="n">
        <v>783.9100000000001</v>
      </c>
      <c r="D433" t="n">
        <v>5</v>
      </c>
    </row>
    <row r="434">
      <c r="A434" t="n">
        <v>2023</v>
      </c>
      <c r="B434" t="n">
        <v>3</v>
      </c>
      <c r="C434" s="24" t="n">
        <v>1172.3</v>
      </c>
      <c r="D434" t="n">
        <v>6</v>
      </c>
    </row>
    <row r="435">
      <c r="A435" t="n">
        <v>2023</v>
      </c>
      <c r="B435" t="n">
        <v>3</v>
      </c>
      <c r="C435" s="24" t="n">
        <v>1906.65</v>
      </c>
      <c r="D435" t="n">
        <v>7</v>
      </c>
    </row>
    <row r="436">
      <c r="A436" t="n">
        <v>2023</v>
      </c>
      <c r="B436" t="n">
        <v>3</v>
      </c>
      <c r="C436" s="24" t="n">
        <v>3360.66</v>
      </c>
      <c r="D436" t="n">
        <v>8</v>
      </c>
    </row>
    <row r="437">
      <c r="A437" t="n">
        <v>2023</v>
      </c>
      <c r="B437" t="n">
        <v>3</v>
      </c>
      <c r="C437" s="24" t="n">
        <v>778.49</v>
      </c>
      <c r="D437" t="n">
        <v>9</v>
      </c>
    </row>
    <row r="438">
      <c r="A438" t="n">
        <v>2023</v>
      </c>
      <c r="B438" t="n">
        <v>3</v>
      </c>
      <c r="C438" s="24" t="n">
        <v>4276.75</v>
      </c>
      <c r="D438" t="n">
        <v>10</v>
      </c>
    </row>
    <row r="439">
      <c r="A439" t="n">
        <v>2023</v>
      </c>
      <c r="B439" t="n">
        <v>3</v>
      </c>
      <c r="C439" s="24" t="n">
        <v>3200.93</v>
      </c>
      <c r="D439" t="n">
        <v>11</v>
      </c>
    </row>
    <row r="440">
      <c r="A440" t="n">
        <v>2023</v>
      </c>
      <c r="B440" t="n">
        <v>3</v>
      </c>
      <c r="C440" s="24" t="n">
        <v>7324.91</v>
      </c>
      <c r="D440" t="n">
        <v>12</v>
      </c>
    </row>
    <row r="441">
      <c r="A441" t="n">
        <v>2023</v>
      </c>
      <c r="B441" t="n">
        <v>3</v>
      </c>
      <c r="C441" s="24" t="n">
        <v>1488.48</v>
      </c>
      <c r="D441" t="n">
        <v>13</v>
      </c>
    </row>
    <row r="442">
      <c r="A442" t="n">
        <v>2023</v>
      </c>
      <c r="B442" t="n">
        <v>3</v>
      </c>
      <c r="C442" s="24" t="n">
        <v>6235.320000000001</v>
      </c>
      <c r="D442" t="n">
        <v>14</v>
      </c>
    </row>
    <row r="443">
      <c r="A443" t="n">
        <v>2023</v>
      </c>
      <c r="B443" t="n">
        <v>3</v>
      </c>
      <c r="C443" s="24" t="n">
        <v>2402.62</v>
      </c>
      <c r="D443" t="n">
        <v>15</v>
      </c>
    </row>
    <row r="444">
      <c r="A444" t="n">
        <v>2023</v>
      </c>
      <c r="B444" t="n">
        <v>3</v>
      </c>
      <c r="C444" s="24" t="n">
        <v>3582.51</v>
      </c>
      <c r="D444" t="n">
        <v>16</v>
      </c>
    </row>
    <row r="445">
      <c r="A445" t="n">
        <v>2023</v>
      </c>
      <c r="B445" t="n">
        <v>3</v>
      </c>
      <c r="C445" s="24" t="n">
        <v>2272.76</v>
      </c>
      <c r="D445" t="n">
        <v>17</v>
      </c>
    </row>
    <row r="446">
      <c r="A446" t="n">
        <v>2023</v>
      </c>
      <c r="B446" t="n">
        <v>3</v>
      </c>
      <c r="C446" s="24" t="n">
        <v>2524.14</v>
      </c>
      <c r="D446" t="n">
        <v>18</v>
      </c>
    </row>
    <row r="447">
      <c r="A447" t="n">
        <v>2023</v>
      </c>
      <c r="B447" t="n">
        <v>3</v>
      </c>
      <c r="C447" s="24" t="n">
        <v>1583.51</v>
      </c>
      <c r="D447" t="n">
        <v>19</v>
      </c>
    </row>
    <row r="448">
      <c r="A448" t="n">
        <v>2023</v>
      </c>
      <c r="B448" t="n">
        <v>3</v>
      </c>
      <c r="C448" s="24" t="n">
        <v>6757.52</v>
      </c>
      <c r="D448" t="n">
        <v>20</v>
      </c>
    </row>
    <row r="449">
      <c r="A449" t="n">
        <v>2023</v>
      </c>
      <c r="B449" t="n">
        <v>3</v>
      </c>
      <c r="C449" s="24" t="n">
        <v>5064.059999999999</v>
      </c>
      <c r="D449" t="n">
        <v>21</v>
      </c>
    </row>
    <row r="450">
      <c r="A450" t="n">
        <v>2023</v>
      </c>
      <c r="B450" t="n">
        <v>3</v>
      </c>
      <c r="C450" s="24" t="n">
        <v>4132.62</v>
      </c>
      <c r="D450" t="n">
        <v>22</v>
      </c>
    </row>
    <row r="451">
      <c r="A451" t="n">
        <v>2023</v>
      </c>
      <c r="B451" t="n">
        <v>3</v>
      </c>
      <c r="C451" s="24" t="n">
        <v>4156.06</v>
      </c>
      <c r="D451" t="n">
        <v>23</v>
      </c>
    </row>
    <row r="452">
      <c r="A452" t="n">
        <v>2023</v>
      </c>
      <c r="B452" t="n">
        <v>3</v>
      </c>
      <c r="C452" s="24" t="n">
        <v>1398.98</v>
      </c>
      <c r="D452" t="n">
        <v>24</v>
      </c>
    </row>
    <row r="453">
      <c r="A453" t="n">
        <v>2023</v>
      </c>
      <c r="B453" t="n">
        <v>3</v>
      </c>
      <c r="C453" s="24" t="n">
        <v>248.27</v>
      </c>
      <c r="D453" t="n">
        <v>25</v>
      </c>
    </row>
    <row r="454">
      <c r="A454" t="n">
        <v>2023</v>
      </c>
      <c r="B454" t="n">
        <v>3</v>
      </c>
      <c r="C454" s="24" t="n">
        <v>2540</v>
      </c>
      <c r="D454" t="n">
        <v>26</v>
      </c>
    </row>
    <row r="455">
      <c r="A455" t="n">
        <v>2023</v>
      </c>
      <c r="B455" t="n">
        <v>3</v>
      </c>
      <c r="C455" s="24" t="n">
        <v>1596.14</v>
      </c>
      <c r="D455" t="n">
        <v>27</v>
      </c>
    </row>
    <row r="456">
      <c r="A456" t="n">
        <v>2023</v>
      </c>
      <c r="B456" t="n">
        <v>3</v>
      </c>
      <c r="C456" s="24" t="n">
        <v>610.79</v>
      </c>
      <c r="D456" t="n">
        <v>28</v>
      </c>
    </row>
    <row r="457">
      <c r="A457" t="n">
        <v>2023</v>
      </c>
      <c r="B457" t="n">
        <v>3</v>
      </c>
      <c r="C457" s="24" t="n">
        <v>2324.6</v>
      </c>
      <c r="D457" t="n">
        <v>29</v>
      </c>
    </row>
    <row r="458">
      <c r="A458" t="n">
        <v>2023</v>
      </c>
      <c r="B458" t="n">
        <v>3</v>
      </c>
      <c r="C458" s="24" t="n">
        <v>8206.93</v>
      </c>
      <c r="D458" t="n">
        <v>30</v>
      </c>
    </row>
    <row r="459">
      <c r="A459" t="n">
        <v>2023</v>
      </c>
      <c r="B459" t="n">
        <v>3</v>
      </c>
      <c r="C459" s="24" t="n">
        <v>581.1</v>
      </c>
      <c r="D459" t="n">
        <v>31</v>
      </c>
    </row>
    <row r="460">
      <c r="A460" t="n">
        <v>2023</v>
      </c>
      <c r="B460" t="n">
        <v>4</v>
      </c>
      <c r="C460" s="24" t="n">
        <v>4018.56</v>
      </c>
      <c r="D460" t="n">
        <v>1</v>
      </c>
    </row>
    <row r="461">
      <c r="A461" t="n">
        <v>2023</v>
      </c>
      <c r="B461" t="n">
        <v>4</v>
      </c>
      <c r="C461" s="24" t="n">
        <v>3253.75</v>
      </c>
      <c r="D461" t="n">
        <v>3</v>
      </c>
    </row>
    <row r="462">
      <c r="A462" t="n">
        <v>2023</v>
      </c>
      <c r="B462" t="n">
        <v>4</v>
      </c>
      <c r="C462" s="24" t="n">
        <v>5168.41</v>
      </c>
      <c r="D462" t="n">
        <v>4</v>
      </c>
    </row>
    <row r="463">
      <c r="A463" t="n">
        <v>2023</v>
      </c>
      <c r="B463" t="n">
        <v>4</v>
      </c>
      <c r="C463" s="24" t="n">
        <v>7729.580000000001</v>
      </c>
      <c r="D463" t="n">
        <v>5</v>
      </c>
    </row>
    <row r="464">
      <c r="A464" t="n">
        <v>2023</v>
      </c>
      <c r="B464" t="n">
        <v>4</v>
      </c>
      <c r="C464" s="24" t="n">
        <v>5378.91</v>
      </c>
      <c r="D464" t="n">
        <v>6</v>
      </c>
    </row>
    <row r="465">
      <c r="A465" t="n">
        <v>2023</v>
      </c>
      <c r="B465" t="n">
        <v>4</v>
      </c>
      <c r="C465" s="24" t="n">
        <v>28.91</v>
      </c>
      <c r="D465" t="n">
        <v>7</v>
      </c>
    </row>
    <row r="466">
      <c r="A466" t="n">
        <v>2023</v>
      </c>
      <c r="B466" t="n">
        <v>4</v>
      </c>
      <c r="C466" s="24" t="n">
        <v>1495.18</v>
      </c>
      <c r="D466" t="n">
        <v>8</v>
      </c>
    </row>
    <row r="467">
      <c r="A467" t="n">
        <v>2023</v>
      </c>
      <c r="B467" t="n">
        <v>4</v>
      </c>
      <c r="C467" s="24" t="n">
        <v>1282.08</v>
      </c>
      <c r="D467" t="n">
        <v>9</v>
      </c>
    </row>
    <row r="468">
      <c r="A468" t="n">
        <v>2023</v>
      </c>
      <c r="B468" t="n">
        <v>4</v>
      </c>
      <c r="C468" s="24" t="n">
        <v>2043.36</v>
      </c>
      <c r="D468" t="n">
        <v>10</v>
      </c>
    </row>
    <row r="469">
      <c r="A469" t="n">
        <v>2023</v>
      </c>
      <c r="B469" t="n">
        <v>4</v>
      </c>
      <c r="C469" s="24" t="n">
        <v>3361.92</v>
      </c>
      <c r="D469" t="n">
        <v>11</v>
      </c>
    </row>
    <row r="470">
      <c r="A470" t="n">
        <v>2023</v>
      </c>
      <c r="B470" t="n">
        <v>4</v>
      </c>
      <c r="C470" s="24" t="n">
        <v>933.8399999999999</v>
      </c>
      <c r="D470" t="n">
        <v>12</v>
      </c>
    </row>
    <row r="471">
      <c r="A471" t="n">
        <v>2023</v>
      </c>
      <c r="B471" t="n">
        <v>4</v>
      </c>
      <c r="C471" s="24" t="n">
        <v>1922.16</v>
      </c>
      <c r="D471" t="n">
        <v>13</v>
      </c>
    </row>
    <row r="472">
      <c r="A472" t="n">
        <v>2023</v>
      </c>
      <c r="B472" t="n">
        <v>4</v>
      </c>
      <c r="C472" s="24" t="n">
        <v>3340.21</v>
      </c>
      <c r="D472" t="n">
        <v>14</v>
      </c>
    </row>
    <row r="473">
      <c r="A473" t="n">
        <v>2023</v>
      </c>
      <c r="B473" t="n">
        <v>4</v>
      </c>
      <c r="C473" s="24" t="n">
        <v>2905.4</v>
      </c>
      <c r="D473" t="n">
        <v>15</v>
      </c>
    </row>
    <row r="474">
      <c r="A474" t="n">
        <v>2023</v>
      </c>
      <c r="B474" t="n">
        <v>4</v>
      </c>
      <c r="C474" s="24" t="n">
        <v>6722.440000000001</v>
      </c>
      <c r="D474" t="n">
        <v>17</v>
      </c>
    </row>
    <row r="475">
      <c r="A475" t="n">
        <v>2023</v>
      </c>
      <c r="B475" t="n">
        <v>4</v>
      </c>
      <c r="C475" s="24" t="n">
        <v>6446.940000000001</v>
      </c>
      <c r="D475" t="n">
        <v>20</v>
      </c>
    </row>
    <row r="476">
      <c r="A476" t="n">
        <v>2023</v>
      </c>
      <c r="B476" t="n">
        <v>4</v>
      </c>
      <c r="C476" s="24" t="n">
        <v>1024.11</v>
      </c>
      <c r="D476" t="n">
        <v>21</v>
      </c>
    </row>
    <row r="477">
      <c r="A477" t="n">
        <v>2023</v>
      </c>
      <c r="B477" t="n">
        <v>4</v>
      </c>
      <c r="C477" s="24" t="n">
        <v>3989.52</v>
      </c>
      <c r="D477" t="n">
        <v>23</v>
      </c>
    </row>
    <row r="478">
      <c r="A478" t="n">
        <v>2023</v>
      </c>
      <c r="B478" t="n">
        <v>4</v>
      </c>
      <c r="C478" s="24" t="n">
        <v>3484.67</v>
      </c>
      <c r="D478" t="n">
        <v>24</v>
      </c>
    </row>
    <row r="479">
      <c r="A479" t="n">
        <v>2023</v>
      </c>
      <c r="B479" t="n">
        <v>4</v>
      </c>
      <c r="C479" s="24" t="n">
        <v>3525.77</v>
      </c>
      <c r="D479" t="n">
        <v>25</v>
      </c>
    </row>
    <row r="480">
      <c r="A480" t="n">
        <v>2023</v>
      </c>
      <c r="B480" t="n">
        <v>4</v>
      </c>
      <c r="C480" s="24" t="n">
        <v>1260.63</v>
      </c>
      <c r="D480" t="n">
        <v>26</v>
      </c>
    </row>
    <row r="481">
      <c r="A481" t="n">
        <v>2023</v>
      </c>
      <c r="B481" t="n">
        <v>4</v>
      </c>
      <c r="C481" s="24" t="n">
        <v>1753.63</v>
      </c>
      <c r="D481" t="n">
        <v>27</v>
      </c>
    </row>
    <row r="482">
      <c r="A482" t="n">
        <v>2023</v>
      </c>
      <c r="B482" t="n">
        <v>4</v>
      </c>
      <c r="C482" s="24" t="n">
        <v>3367.93</v>
      </c>
      <c r="D482" t="n">
        <v>28</v>
      </c>
    </row>
    <row r="483">
      <c r="A483" t="n">
        <v>2023</v>
      </c>
      <c r="B483" t="n">
        <v>4</v>
      </c>
      <c r="C483" s="24" t="n">
        <v>837.8</v>
      </c>
      <c r="D483" t="n">
        <v>29</v>
      </c>
    </row>
    <row r="484">
      <c r="A484" t="n">
        <v>2023</v>
      </c>
      <c r="B484" t="n">
        <v>4</v>
      </c>
      <c r="C484" s="24" t="n">
        <v>888.05</v>
      </c>
      <c r="D484" t="n">
        <v>30</v>
      </c>
    </row>
    <row r="485">
      <c r="A485" t="n">
        <v>2023</v>
      </c>
      <c r="B485" t="n">
        <v>5</v>
      </c>
      <c r="C485" s="24" t="n">
        <v>1245.28</v>
      </c>
      <c r="D485" t="n">
        <v>1</v>
      </c>
    </row>
    <row r="486">
      <c r="A486" t="n">
        <v>2023</v>
      </c>
      <c r="B486" t="n">
        <v>5</v>
      </c>
      <c r="C486" s="24" t="n">
        <v>1735.02</v>
      </c>
      <c r="D486" t="n">
        <v>2</v>
      </c>
    </row>
    <row r="487">
      <c r="A487" t="n">
        <v>2023</v>
      </c>
      <c r="B487" t="n">
        <v>5</v>
      </c>
      <c r="C487" s="24" t="n">
        <v>1868.96</v>
      </c>
      <c r="D487" t="n">
        <v>3</v>
      </c>
    </row>
    <row r="488">
      <c r="A488" t="n">
        <v>2023</v>
      </c>
      <c r="B488" t="n">
        <v>5</v>
      </c>
      <c r="C488" s="24" t="n">
        <v>850.67</v>
      </c>
      <c r="D488" t="n">
        <v>4</v>
      </c>
    </row>
    <row r="489">
      <c r="A489" t="n">
        <v>2023</v>
      </c>
      <c r="B489" t="n">
        <v>5</v>
      </c>
      <c r="C489" s="24" t="n">
        <v>1537.94</v>
      </c>
      <c r="D489" t="n">
        <v>5</v>
      </c>
    </row>
    <row r="490">
      <c r="A490" t="n">
        <v>2023</v>
      </c>
      <c r="B490" t="n">
        <v>5</v>
      </c>
      <c r="C490" s="24" t="n">
        <v>2119.71</v>
      </c>
      <c r="D490" t="n">
        <v>6</v>
      </c>
    </row>
    <row r="491">
      <c r="A491" t="n">
        <v>2023</v>
      </c>
      <c r="B491" t="n">
        <v>5</v>
      </c>
      <c r="C491" s="24" t="n">
        <v>3125.59</v>
      </c>
      <c r="D491" t="n">
        <v>7</v>
      </c>
    </row>
    <row r="492">
      <c r="A492" t="n">
        <v>2023</v>
      </c>
      <c r="B492" t="n">
        <v>5</v>
      </c>
      <c r="C492" s="24" t="n">
        <v>8948.52</v>
      </c>
      <c r="D492" t="n">
        <v>8</v>
      </c>
    </row>
    <row r="493">
      <c r="A493" t="n">
        <v>2023</v>
      </c>
      <c r="B493" t="n">
        <v>5</v>
      </c>
      <c r="C493" s="24" t="n">
        <v>4711.54</v>
      </c>
      <c r="D493" t="n">
        <v>9</v>
      </c>
    </row>
    <row r="494">
      <c r="A494" t="n">
        <v>2023</v>
      </c>
      <c r="B494" t="n">
        <v>5</v>
      </c>
      <c r="C494" s="24" t="n">
        <v>4474.53</v>
      </c>
      <c r="D494" t="n">
        <v>10</v>
      </c>
    </row>
    <row r="495">
      <c r="A495" t="n">
        <v>2023</v>
      </c>
      <c r="B495" t="n">
        <v>5</v>
      </c>
      <c r="C495" s="24" t="n">
        <v>7863.21</v>
      </c>
      <c r="D495" t="n">
        <v>11</v>
      </c>
    </row>
    <row r="496">
      <c r="A496" t="n">
        <v>2023</v>
      </c>
      <c r="B496" t="n">
        <v>5</v>
      </c>
      <c r="C496" s="24" t="n">
        <v>454.26</v>
      </c>
      <c r="D496" t="n">
        <v>12</v>
      </c>
    </row>
    <row r="497">
      <c r="A497" t="n">
        <v>2023</v>
      </c>
      <c r="B497" t="n">
        <v>5</v>
      </c>
      <c r="C497" s="24" t="n">
        <v>4405.929999999999</v>
      </c>
      <c r="D497" t="n">
        <v>13</v>
      </c>
    </row>
    <row r="498">
      <c r="A498" t="n">
        <v>2023</v>
      </c>
      <c r="B498" t="n">
        <v>5</v>
      </c>
      <c r="C498" s="24" t="n">
        <v>662.88</v>
      </c>
      <c r="D498" t="n">
        <v>14</v>
      </c>
    </row>
    <row r="499">
      <c r="A499" t="n">
        <v>2023</v>
      </c>
      <c r="B499" t="n">
        <v>5</v>
      </c>
      <c r="C499" s="24" t="n">
        <v>7187.51</v>
      </c>
      <c r="D499" t="n">
        <v>15</v>
      </c>
    </row>
    <row r="500">
      <c r="A500" t="n">
        <v>2023</v>
      </c>
      <c r="B500" t="n">
        <v>5</v>
      </c>
      <c r="C500" s="24" t="n">
        <v>305.81</v>
      </c>
      <c r="D500" t="n">
        <v>16</v>
      </c>
    </row>
    <row r="501">
      <c r="A501" t="n">
        <v>2023</v>
      </c>
      <c r="B501" t="n">
        <v>5</v>
      </c>
      <c r="C501" s="24" t="n">
        <v>1419.35</v>
      </c>
      <c r="D501" t="n">
        <v>17</v>
      </c>
    </row>
    <row r="502">
      <c r="A502" t="n">
        <v>2023</v>
      </c>
      <c r="B502" t="n">
        <v>5</v>
      </c>
      <c r="C502" s="24" t="n">
        <v>965.4299999999999</v>
      </c>
      <c r="D502" t="n">
        <v>18</v>
      </c>
    </row>
    <row r="503">
      <c r="A503" t="n">
        <v>2023</v>
      </c>
      <c r="B503" t="n">
        <v>5</v>
      </c>
      <c r="C503" s="24" t="n">
        <v>1459.06</v>
      </c>
      <c r="D503" t="n">
        <v>19</v>
      </c>
    </row>
    <row r="504">
      <c r="A504" t="n">
        <v>2023</v>
      </c>
      <c r="B504" t="n">
        <v>5</v>
      </c>
      <c r="C504" s="24" t="n">
        <v>408.32</v>
      </c>
      <c r="D504" t="n">
        <v>20</v>
      </c>
    </row>
    <row r="505">
      <c r="A505" t="n">
        <v>2023</v>
      </c>
      <c r="B505" t="n">
        <v>5</v>
      </c>
      <c r="C505" s="24" t="n">
        <v>5315</v>
      </c>
      <c r="D505" t="n">
        <v>21</v>
      </c>
    </row>
    <row r="506">
      <c r="A506" t="n">
        <v>2023</v>
      </c>
      <c r="B506" t="n">
        <v>5</v>
      </c>
      <c r="C506" s="24" t="n">
        <v>7423.379999999999</v>
      </c>
      <c r="D506" t="n">
        <v>22</v>
      </c>
    </row>
    <row r="507">
      <c r="A507" t="n">
        <v>2023</v>
      </c>
      <c r="B507" t="n">
        <v>5</v>
      </c>
      <c r="C507" s="24" t="n">
        <v>973.08</v>
      </c>
      <c r="D507" t="n">
        <v>23</v>
      </c>
    </row>
    <row r="508">
      <c r="A508" t="n">
        <v>2023</v>
      </c>
      <c r="B508" t="n">
        <v>5</v>
      </c>
      <c r="C508" s="24" t="n">
        <v>3122.53</v>
      </c>
      <c r="D508" t="n">
        <v>24</v>
      </c>
    </row>
    <row r="509">
      <c r="A509" t="n">
        <v>2023</v>
      </c>
      <c r="B509" t="n">
        <v>5</v>
      </c>
      <c r="C509" s="24" t="n">
        <v>1898.21</v>
      </c>
      <c r="D509" t="n">
        <v>25</v>
      </c>
    </row>
    <row r="510">
      <c r="A510" t="n">
        <v>2023</v>
      </c>
      <c r="B510" t="n">
        <v>5</v>
      </c>
      <c r="C510" s="24" t="n">
        <v>3882.75</v>
      </c>
      <c r="D510" t="n">
        <v>26</v>
      </c>
    </row>
    <row r="511">
      <c r="A511" t="n">
        <v>2023</v>
      </c>
      <c r="B511" t="n">
        <v>5</v>
      </c>
      <c r="C511" s="24" t="n">
        <v>3231.04</v>
      </c>
      <c r="D511" t="n">
        <v>28</v>
      </c>
    </row>
    <row r="512">
      <c r="A512" t="n">
        <v>2023</v>
      </c>
      <c r="B512" t="n">
        <v>5</v>
      </c>
      <c r="C512" s="24" t="n">
        <v>6886.24</v>
      </c>
      <c r="D512" t="n">
        <v>29</v>
      </c>
    </row>
    <row r="513">
      <c r="A513" t="n">
        <v>2023</v>
      </c>
      <c r="B513" t="n">
        <v>5</v>
      </c>
      <c r="C513" s="24" t="n">
        <v>2278.08</v>
      </c>
      <c r="D513" t="n">
        <v>30</v>
      </c>
    </row>
    <row r="514">
      <c r="A514" t="n">
        <v>2023</v>
      </c>
      <c r="B514" t="n">
        <v>5</v>
      </c>
      <c r="C514" s="24" t="n">
        <v>17339</v>
      </c>
      <c r="D514" t="n">
        <v>31</v>
      </c>
    </row>
    <row r="515">
      <c r="A515" t="n">
        <v>2023</v>
      </c>
      <c r="B515" t="n">
        <v>6</v>
      </c>
      <c r="C515" s="24" t="n">
        <v>851.3399999999999</v>
      </c>
      <c r="D515" t="n">
        <v>1</v>
      </c>
    </row>
    <row r="516">
      <c r="A516" t="n">
        <v>2023</v>
      </c>
      <c r="B516" t="n">
        <v>6</v>
      </c>
      <c r="C516" s="24" t="n">
        <v>1204.35</v>
      </c>
      <c r="D516" t="n">
        <v>2</v>
      </c>
    </row>
    <row r="517">
      <c r="A517" t="n">
        <v>2023</v>
      </c>
      <c r="B517" t="n">
        <v>6</v>
      </c>
      <c r="C517" s="24" t="n">
        <v>2943.69</v>
      </c>
      <c r="D517" t="n">
        <v>3</v>
      </c>
    </row>
    <row r="518">
      <c r="A518" t="n">
        <v>2023</v>
      </c>
      <c r="B518" t="n">
        <v>6</v>
      </c>
      <c r="C518" s="24" t="n">
        <v>3966.14</v>
      </c>
      <c r="D518" t="n">
        <v>4</v>
      </c>
    </row>
    <row r="519">
      <c r="A519" t="n">
        <v>2023</v>
      </c>
      <c r="B519" t="n">
        <v>6</v>
      </c>
      <c r="C519" s="24" t="n">
        <v>5221.93</v>
      </c>
      <c r="D519" t="n">
        <v>5</v>
      </c>
    </row>
    <row r="520">
      <c r="A520" t="n">
        <v>2023</v>
      </c>
      <c r="B520" t="n">
        <v>6</v>
      </c>
      <c r="C520" s="24" t="n">
        <v>4918.92</v>
      </c>
      <c r="D520" t="n">
        <v>6</v>
      </c>
    </row>
    <row r="521">
      <c r="A521" t="n">
        <v>2023</v>
      </c>
      <c r="B521" t="n">
        <v>6</v>
      </c>
      <c r="C521" s="24" t="n">
        <v>1974.77</v>
      </c>
      <c r="D521" t="n">
        <v>7</v>
      </c>
    </row>
    <row r="522">
      <c r="A522" t="n">
        <v>2023</v>
      </c>
      <c r="B522" t="n">
        <v>6</v>
      </c>
      <c r="C522" s="24" t="n">
        <v>2963.7</v>
      </c>
      <c r="D522" t="n">
        <v>8</v>
      </c>
    </row>
    <row r="523">
      <c r="A523" t="n">
        <v>2023</v>
      </c>
      <c r="B523" t="n">
        <v>6</v>
      </c>
      <c r="C523" s="24" t="n">
        <v>5849.85</v>
      </c>
      <c r="D523" t="n">
        <v>9</v>
      </c>
    </row>
    <row r="524">
      <c r="A524" t="n">
        <v>2023</v>
      </c>
      <c r="B524" t="n">
        <v>6</v>
      </c>
      <c r="C524" s="24" t="n">
        <v>1300.15</v>
      </c>
      <c r="D524" t="n">
        <v>10</v>
      </c>
    </row>
    <row r="525">
      <c r="A525" t="n">
        <v>2023</v>
      </c>
      <c r="B525" t="n">
        <v>6</v>
      </c>
      <c r="C525" s="24" t="n">
        <v>1798.82</v>
      </c>
      <c r="D525" t="n">
        <v>11</v>
      </c>
    </row>
    <row r="526">
      <c r="A526" t="n">
        <v>2023</v>
      </c>
      <c r="B526" t="n">
        <v>6</v>
      </c>
      <c r="C526" s="24" t="n">
        <v>11548</v>
      </c>
      <c r="D526" t="n">
        <v>12</v>
      </c>
    </row>
    <row r="527">
      <c r="A527" t="n">
        <v>2023</v>
      </c>
      <c r="B527" t="n">
        <v>6</v>
      </c>
      <c r="C527" s="24" t="n">
        <v>7076.79</v>
      </c>
      <c r="D527" t="n">
        <v>13</v>
      </c>
    </row>
    <row r="528">
      <c r="A528" t="n">
        <v>2023</v>
      </c>
      <c r="B528" t="n">
        <v>6</v>
      </c>
      <c r="C528" s="24" t="n">
        <v>630.49</v>
      </c>
      <c r="D528" t="n">
        <v>14</v>
      </c>
    </row>
    <row r="529">
      <c r="A529" t="n">
        <v>2023</v>
      </c>
      <c r="B529" t="n">
        <v>6</v>
      </c>
      <c r="C529" s="24" t="n">
        <v>3539.34</v>
      </c>
      <c r="D529" t="n">
        <v>15</v>
      </c>
    </row>
    <row r="530">
      <c r="A530" t="n">
        <v>2023</v>
      </c>
      <c r="B530" t="n">
        <v>6</v>
      </c>
      <c r="C530" s="24" t="n">
        <v>3024.33</v>
      </c>
      <c r="D530" t="n">
        <v>16</v>
      </c>
    </row>
    <row r="531">
      <c r="A531" t="n">
        <v>2023</v>
      </c>
      <c r="B531" t="n">
        <v>6</v>
      </c>
      <c r="C531" s="24" t="n">
        <v>1515.83</v>
      </c>
      <c r="D531" t="n">
        <v>18</v>
      </c>
    </row>
    <row r="532">
      <c r="A532" t="n">
        <v>2023</v>
      </c>
      <c r="B532" t="n">
        <v>6</v>
      </c>
      <c r="C532" s="24" t="n">
        <v>2826.25</v>
      </c>
      <c r="D532" t="n">
        <v>19</v>
      </c>
    </row>
    <row r="533">
      <c r="A533" t="n">
        <v>2023</v>
      </c>
      <c r="B533" t="n">
        <v>6</v>
      </c>
      <c r="C533" s="24" t="n">
        <v>1830.95</v>
      </c>
      <c r="D533" t="n">
        <v>20</v>
      </c>
    </row>
    <row r="534">
      <c r="A534" t="n">
        <v>2023</v>
      </c>
      <c r="B534" t="n">
        <v>6</v>
      </c>
      <c r="C534" s="24" t="n">
        <v>2435.88</v>
      </c>
      <c r="D534" t="n">
        <v>21</v>
      </c>
    </row>
    <row r="535">
      <c r="A535" t="n">
        <v>2023</v>
      </c>
      <c r="B535" t="n">
        <v>6</v>
      </c>
      <c r="C535" s="24" t="n">
        <v>1978.26</v>
      </c>
      <c r="D535" t="n">
        <v>22</v>
      </c>
    </row>
    <row r="536">
      <c r="A536" t="n">
        <v>2023</v>
      </c>
      <c r="B536" t="n">
        <v>6</v>
      </c>
      <c r="C536" s="24" t="n">
        <v>3478.14</v>
      </c>
      <c r="D536" t="n">
        <v>23</v>
      </c>
    </row>
    <row r="537">
      <c r="A537" t="n">
        <v>2023</v>
      </c>
      <c r="B537" t="n">
        <v>6</v>
      </c>
      <c r="C537" s="24" t="n">
        <v>9336.91</v>
      </c>
      <c r="D537" t="n">
        <v>24</v>
      </c>
    </row>
    <row r="538">
      <c r="A538" t="n">
        <v>2023</v>
      </c>
      <c r="B538" t="n">
        <v>6</v>
      </c>
      <c r="C538" s="24" t="n">
        <v>2525.11</v>
      </c>
      <c r="D538" t="n">
        <v>25</v>
      </c>
    </row>
    <row r="539">
      <c r="A539" t="n">
        <v>2023</v>
      </c>
      <c r="B539" t="n">
        <v>6</v>
      </c>
      <c r="C539" s="24" t="n">
        <v>2300.34</v>
      </c>
      <c r="D539" t="n">
        <v>26</v>
      </c>
    </row>
    <row r="540">
      <c r="A540" t="n">
        <v>2023</v>
      </c>
      <c r="B540" t="n">
        <v>6</v>
      </c>
      <c r="C540" s="24" t="n">
        <v>1779.14</v>
      </c>
      <c r="D540" t="n">
        <v>27</v>
      </c>
    </row>
    <row r="541">
      <c r="A541" t="n">
        <v>2023</v>
      </c>
      <c r="B541" t="n">
        <v>6</v>
      </c>
      <c r="C541" s="24" t="n">
        <v>6381.23</v>
      </c>
      <c r="D541" t="n">
        <v>28</v>
      </c>
    </row>
    <row r="542">
      <c r="A542" t="n">
        <v>2023</v>
      </c>
      <c r="B542" t="n">
        <v>6</v>
      </c>
      <c r="C542" s="24" t="n">
        <v>2659.21</v>
      </c>
      <c r="D542" t="n">
        <v>29</v>
      </c>
    </row>
    <row r="543">
      <c r="A543" t="n">
        <v>2023</v>
      </c>
      <c r="B543" t="n">
        <v>6</v>
      </c>
      <c r="C543" s="24" t="n">
        <v>2656.31</v>
      </c>
      <c r="D543" t="n">
        <v>30</v>
      </c>
    </row>
    <row r="544">
      <c r="A544" t="n">
        <v>2023</v>
      </c>
      <c r="B544" t="n">
        <v>7</v>
      </c>
      <c r="C544" s="24" t="n">
        <v>5541.57</v>
      </c>
      <c r="D544" t="n">
        <v>1</v>
      </c>
    </row>
    <row r="545">
      <c r="A545" t="n">
        <v>2023</v>
      </c>
      <c r="B545" t="n">
        <v>7</v>
      </c>
      <c r="C545" s="24" t="n">
        <v>146.51</v>
      </c>
      <c r="D545" t="n">
        <v>2</v>
      </c>
    </row>
    <row r="546">
      <c r="A546" t="n">
        <v>2023</v>
      </c>
      <c r="B546" t="n">
        <v>7</v>
      </c>
      <c r="C546" s="24" t="n">
        <v>5285.55</v>
      </c>
      <c r="D546" t="n">
        <v>3</v>
      </c>
    </row>
    <row r="547">
      <c r="A547" t="n">
        <v>2023</v>
      </c>
      <c r="B547" t="n">
        <v>7</v>
      </c>
      <c r="C547" s="24" t="n">
        <v>2554.46</v>
      </c>
      <c r="D547" t="n">
        <v>4</v>
      </c>
    </row>
    <row r="548">
      <c r="A548" t="n">
        <v>2023</v>
      </c>
      <c r="B548" t="n">
        <v>7</v>
      </c>
      <c r="C548" s="24" t="n">
        <v>1671.61</v>
      </c>
      <c r="D548" t="n">
        <v>6</v>
      </c>
    </row>
    <row r="549">
      <c r="A549" t="n">
        <v>2023</v>
      </c>
      <c r="B549" t="n">
        <v>7</v>
      </c>
      <c r="C549" s="24" t="n">
        <v>1505.36</v>
      </c>
      <c r="D549" t="n">
        <v>7</v>
      </c>
    </row>
    <row r="550">
      <c r="A550" t="n">
        <v>2023</v>
      </c>
      <c r="B550" t="n">
        <v>7</v>
      </c>
      <c r="C550" s="24" t="n">
        <v>1058.75</v>
      </c>
      <c r="D550" t="n">
        <v>8</v>
      </c>
    </row>
    <row r="551">
      <c r="A551" t="n">
        <v>2023</v>
      </c>
      <c r="B551" t="n">
        <v>7</v>
      </c>
      <c r="C551" s="24" t="n">
        <v>1741.81</v>
      </c>
      <c r="D551" t="n">
        <v>9</v>
      </c>
    </row>
    <row r="552">
      <c r="A552" t="n">
        <v>2023</v>
      </c>
      <c r="B552" t="n">
        <v>7</v>
      </c>
      <c r="C552" s="24" t="n">
        <v>8600.200000000001</v>
      </c>
      <c r="D552" t="n">
        <v>10</v>
      </c>
    </row>
    <row r="553">
      <c r="A553" t="n">
        <v>2023</v>
      </c>
      <c r="B553" t="n">
        <v>7</v>
      </c>
      <c r="C553" s="24" t="n">
        <v>2346.8</v>
      </c>
      <c r="D553" t="n">
        <v>11</v>
      </c>
    </row>
    <row r="554">
      <c r="A554" t="n">
        <v>2023</v>
      </c>
      <c r="B554" t="n">
        <v>7</v>
      </c>
      <c r="C554" s="24" t="n">
        <v>5297.200000000001</v>
      </c>
      <c r="D554" t="n">
        <v>12</v>
      </c>
    </row>
    <row r="555">
      <c r="A555" t="n">
        <v>2023</v>
      </c>
      <c r="B555" t="n">
        <v>7</v>
      </c>
      <c r="C555" s="24" t="n">
        <v>3757.16</v>
      </c>
      <c r="D555" t="n">
        <v>13</v>
      </c>
    </row>
    <row r="556">
      <c r="A556" t="n">
        <v>2023</v>
      </c>
      <c r="B556" t="n">
        <v>7</v>
      </c>
      <c r="C556" s="24" t="n">
        <v>3410.94</v>
      </c>
      <c r="D556" t="n">
        <v>14</v>
      </c>
    </row>
    <row r="557">
      <c r="A557" t="n">
        <v>2023</v>
      </c>
      <c r="B557" t="n">
        <v>7</v>
      </c>
      <c r="C557" s="24" t="n">
        <v>1811.78</v>
      </c>
      <c r="D557" t="n">
        <v>15</v>
      </c>
    </row>
    <row r="558">
      <c r="A558" t="n">
        <v>2023</v>
      </c>
      <c r="B558" t="n">
        <v>7</v>
      </c>
      <c r="C558" s="24" t="n">
        <v>1643.44</v>
      </c>
      <c r="D558" t="n">
        <v>16</v>
      </c>
    </row>
    <row r="559">
      <c r="A559" t="n">
        <v>2023</v>
      </c>
      <c r="B559" t="n">
        <v>7</v>
      </c>
      <c r="C559" s="24" t="n">
        <v>324</v>
      </c>
      <c r="D559" t="n">
        <v>17</v>
      </c>
    </row>
    <row r="560">
      <c r="A560" t="n">
        <v>2023</v>
      </c>
      <c r="B560" t="n">
        <v>7</v>
      </c>
      <c r="C560" s="24" t="n">
        <v>6390.08</v>
      </c>
      <c r="D560" t="n">
        <v>18</v>
      </c>
    </row>
    <row r="561">
      <c r="A561" t="n">
        <v>2023</v>
      </c>
      <c r="B561" t="n">
        <v>7</v>
      </c>
      <c r="C561" s="24" t="n">
        <v>5691.049999999999</v>
      </c>
      <c r="D561" t="n">
        <v>19</v>
      </c>
    </row>
    <row r="562">
      <c r="A562" t="n">
        <v>2023</v>
      </c>
      <c r="B562" t="n">
        <v>7</v>
      </c>
      <c r="C562" s="24" t="n">
        <v>11173</v>
      </c>
      <c r="D562" t="n">
        <v>20</v>
      </c>
    </row>
    <row r="563">
      <c r="A563" t="n">
        <v>2023</v>
      </c>
      <c r="B563" t="n">
        <v>7</v>
      </c>
      <c r="C563" s="24" t="n">
        <v>6468.070000000001</v>
      </c>
      <c r="D563" t="n">
        <v>21</v>
      </c>
    </row>
    <row r="564">
      <c r="A564" t="n">
        <v>2023</v>
      </c>
      <c r="B564" t="n">
        <v>7</v>
      </c>
      <c r="C564" s="24" t="n">
        <v>3921.01</v>
      </c>
      <c r="D564" t="n">
        <v>22</v>
      </c>
    </row>
    <row r="565">
      <c r="A565" t="n">
        <v>2023</v>
      </c>
      <c r="B565" t="n">
        <v>7</v>
      </c>
      <c r="C565" s="24" t="n">
        <v>3720.45</v>
      </c>
      <c r="D565" t="n">
        <v>23</v>
      </c>
    </row>
    <row r="566">
      <c r="A566" t="n">
        <v>2023</v>
      </c>
      <c r="B566" t="n">
        <v>7</v>
      </c>
      <c r="C566" s="24" t="n">
        <v>791.78</v>
      </c>
      <c r="D566" t="n">
        <v>24</v>
      </c>
    </row>
    <row r="567">
      <c r="A567" t="n">
        <v>2023</v>
      </c>
      <c r="B567" t="n">
        <v>7</v>
      </c>
      <c r="C567" s="24" t="n">
        <v>3855.49</v>
      </c>
      <c r="D567" t="n">
        <v>25</v>
      </c>
    </row>
    <row r="568">
      <c r="A568" t="n">
        <v>2023</v>
      </c>
      <c r="B568" t="n">
        <v>7</v>
      </c>
      <c r="C568" s="24" t="n">
        <v>2495.59</v>
      </c>
      <c r="D568" t="n">
        <v>26</v>
      </c>
    </row>
    <row r="569">
      <c r="A569" t="n">
        <v>2023</v>
      </c>
      <c r="B569" t="n">
        <v>7</v>
      </c>
      <c r="C569" s="24" t="n">
        <v>1172.42</v>
      </c>
      <c r="D569" t="n">
        <v>27</v>
      </c>
    </row>
    <row r="570">
      <c r="A570" t="n">
        <v>2023</v>
      </c>
      <c r="B570" t="n">
        <v>7</v>
      </c>
      <c r="C570" s="24" t="n">
        <v>666.9</v>
      </c>
      <c r="D570" t="n">
        <v>28</v>
      </c>
    </row>
    <row r="571">
      <c r="A571" t="n">
        <v>2023</v>
      </c>
      <c r="B571" t="n">
        <v>7</v>
      </c>
      <c r="C571" s="24" t="n">
        <v>9981.690000000001</v>
      </c>
      <c r="D571" t="n">
        <v>29</v>
      </c>
    </row>
    <row r="572">
      <c r="A572" t="n">
        <v>2023</v>
      </c>
      <c r="B572" t="n">
        <v>7</v>
      </c>
      <c r="C572" s="24" t="n">
        <v>4404.299999999999</v>
      </c>
      <c r="D572" t="n">
        <v>30</v>
      </c>
    </row>
    <row r="573">
      <c r="A573" t="n">
        <v>2023</v>
      </c>
      <c r="B573" t="n">
        <v>7</v>
      </c>
      <c r="C573" s="24" t="n">
        <v>2494.71</v>
      </c>
      <c r="D573" t="n">
        <v>31</v>
      </c>
    </row>
    <row r="574">
      <c r="A574" t="n">
        <v>2023</v>
      </c>
      <c r="B574" t="n">
        <v>8</v>
      </c>
      <c r="C574" s="24" t="n">
        <v>6061.17</v>
      </c>
      <c r="D574" t="n">
        <v>1</v>
      </c>
    </row>
    <row r="575">
      <c r="A575" t="n">
        <v>2023</v>
      </c>
      <c r="B575" t="n">
        <v>8</v>
      </c>
      <c r="C575" s="24" t="n">
        <v>259.65</v>
      </c>
      <c r="D575" t="n">
        <v>2</v>
      </c>
    </row>
    <row r="576">
      <c r="A576" t="n">
        <v>2023</v>
      </c>
      <c r="B576" t="n">
        <v>8</v>
      </c>
      <c r="C576" s="24" t="n">
        <v>5753.02</v>
      </c>
      <c r="D576" t="n">
        <v>3</v>
      </c>
    </row>
    <row r="577">
      <c r="A577" t="n">
        <v>2023</v>
      </c>
      <c r="B577" t="n">
        <v>8</v>
      </c>
      <c r="C577" s="24" t="n">
        <v>2470.64</v>
      </c>
      <c r="D577" t="n">
        <v>4</v>
      </c>
    </row>
    <row r="578">
      <c r="A578" t="n">
        <v>2023</v>
      </c>
      <c r="B578" t="n">
        <v>8</v>
      </c>
      <c r="C578" s="24" t="n">
        <v>1264.02</v>
      </c>
      <c r="D578" t="n">
        <v>5</v>
      </c>
    </row>
    <row r="579">
      <c r="A579" t="n">
        <v>2023</v>
      </c>
      <c r="B579" t="n">
        <v>8</v>
      </c>
      <c r="C579" s="24" t="n">
        <v>2654.47</v>
      </c>
      <c r="D579" t="n">
        <v>6</v>
      </c>
    </row>
    <row r="580">
      <c r="A580" t="n">
        <v>2023</v>
      </c>
      <c r="B580" t="n">
        <v>8</v>
      </c>
      <c r="C580" s="24" t="n">
        <v>3383.26</v>
      </c>
      <c r="D580" t="n">
        <v>8</v>
      </c>
    </row>
    <row r="581">
      <c r="A581" t="n">
        <v>2023</v>
      </c>
      <c r="B581" t="n">
        <v>8</v>
      </c>
      <c r="C581" s="24" t="n">
        <v>3423.26</v>
      </c>
      <c r="D581" t="n">
        <v>9</v>
      </c>
    </row>
    <row r="582">
      <c r="A582" t="n">
        <v>2023</v>
      </c>
      <c r="B582" t="n">
        <v>8</v>
      </c>
      <c r="C582" s="24" t="n">
        <v>4752.32</v>
      </c>
      <c r="D582" t="n">
        <v>10</v>
      </c>
    </row>
    <row r="583">
      <c r="A583" t="n">
        <v>2023</v>
      </c>
      <c r="B583" t="n">
        <v>8</v>
      </c>
      <c r="C583" s="24" t="n">
        <v>850.8200000000001</v>
      </c>
      <c r="D583" t="n">
        <v>11</v>
      </c>
    </row>
    <row r="584">
      <c r="A584" t="n">
        <v>2023</v>
      </c>
      <c r="B584" t="n">
        <v>8</v>
      </c>
      <c r="C584" s="24" t="n">
        <v>1734</v>
      </c>
      <c r="D584" t="n">
        <v>12</v>
      </c>
    </row>
    <row r="585">
      <c r="A585" t="n">
        <v>2023</v>
      </c>
      <c r="B585" t="n">
        <v>8</v>
      </c>
      <c r="C585" s="24" t="n">
        <v>2158.37</v>
      </c>
      <c r="D585" t="n">
        <v>13</v>
      </c>
    </row>
    <row r="586">
      <c r="A586" t="n">
        <v>2023</v>
      </c>
      <c r="B586" t="n">
        <v>8</v>
      </c>
      <c r="C586" s="24" t="n">
        <v>3678.77</v>
      </c>
      <c r="D586" t="n">
        <v>14</v>
      </c>
    </row>
    <row r="587">
      <c r="A587" t="n">
        <v>2023</v>
      </c>
      <c r="B587" t="n">
        <v>8</v>
      </c>
      <c r="C587" s="24" t="n">
        <v>4477.53</v>
      </c>
      <c r="D587" t="n">
        <v>15</v>
      </c>
    </row>
    <row r="588">
      <c r="A588" t="n">
        <v>2023</v>
      </c>
      <c r="B588" t="n">
        <v>8</v>
      </c>
      <c r="C588" s="24" t="n">
        <v>1677.12</v>
      </c>
      <c r="D588" t="n">
        <v>16</v>
      </c>
    </row>
    <row r="589">
      <c r="A589" t="n">
        <v>2023</v>
      </c>
      <c r="B589" t="n">
        <v>8</v>
      </c>
      <c r="C589" s="24" t="n">
        <v>5855.2</v>
      </c>
      <c r="D589" t="n">
        <v>17</v>
      </c>
    </row>
    <row r="590">
      <c r="A590" t="n">
        <v>2023</v>
      </c>
      <c r="B590" t="n">
        <v>8</v>
      </c>
      <c r="C590" s="24" t="n">
        <v>3760.52</v>
      </c>
      <c r="D590" t="n">
        <v>18</v>
      </c>
    </row>
    <row r="591">
      <c r="A591" t="n">
        <v>2023</v>
      </c>
      <c r="B591" t="n">
        <v>8</v>
      </c>
      <c r="C591" s="24" t="n">
        <v>5763.690000000001</v>
      </c>
      <c r="D591" t="n">
        <v>19</v>
      </c>
    </row>
    <row r="592">
      <c r="A592" t="n">
        <v>2023</v>
      </c>
      <c r="B592" t="n">
        <v>8</v>
      </c>
      <c r="C592" s="24" t="n">
        <v>2269.11</v>
      </c>
      <c r="D592" t="n">
        <v>20</v>
      </c>
    </row>
    <row r="593">
      <c r="A593" t="n">
        <v>2023</v>
      </c>
      <c r="B593" t="n">
        <v>8</v>
      </c>
      <c r="C593" s="24" t="n">
        <v>4063.68</v>
      </c>
      <c r="D593" t="n">
        <v>21</v>
      </c>
    </row>
    <row r="594">
      <c r="A594" t="n">
        <v>2023</v>
      </c>
      <c r="B594" t="n">
        <v>8</v>
      </c>
      <c r="C594" s="24" t="n">
        <v>7203.08</v>
      </c>
      <c r="D594" t="n">
        <v>22</v>
      </c>
    </row>
    <row r="595">
      <c r="A595" t="n">
        <v>2023</v>
      </c>
      <c r="B595" t="n">
        <v>8</v>
      </c>
      <c r="C595" s="24" t="n">
        <v>370.66</v>
      </c>
      <c r="D595" t="n">
        <v>23</v>
      </c>
    </row>
    <row r="596">
      <c r="A596" t="n">
        <v>2023</v>
      </c>
      <c r="B596" t="n">
        <v>8</v>
      </c>
      <c r="C596" s="24" t="n">
        <v>4194.01</v>
      </c>
      <c r="D596" t="n">
        <v>24</v>
      </c>
    </row>
    <row r="597">
      <c r="A597" t="n">
        <v>2023</v>
      </c>
      <c r="B597" t="n">
        <v>8</v>
      </c>
      <c r="C597" s="24" t="n">
        <v>2613.11</v>
      </c>
      <c r="D597" t="n">
        <v>25</v>
      </c>
    </row>
    <row r="598">
      <c r="A598" t="n">
        <v>2023</v>
      </c>
      <c r="B598" t="n">
        <v>8</v>
      </c>
      <c r="C598" s="24" t="n">
        <v>5543.02</v>
      </c>
      <c r="D598" t="n">
        <v>26</v>
      </c>
    </row>
    <row r="599">
      <c r="A599" t="n">
        <v>2023</v>
      </c>
      <c r="B599" t="n">
        <v>8</v>
      </c>
      <c r="C599" s="24" t="n">
        <v>3938.16</v>
      </c>
      <c r="D599" t="n">
        <v>27</v>
      </c>
    </row>
    <row r="600">
      <c r="A600" t="n">
        <v>2023</v>
      </c>
      <c r="B600" t="n">
        <v>8</v>
      </c>
      <c r="C600" s="24" t="n">
        <v>2618.49</v>
      </c>
      <c r="D600" t="n">
        <v>29</v>
      </c>
    </row>
    <row r="601">
      <c r="A601" t="n">
        <v>2023</v>
      </c>
      <c r="B601" t="n">
        <v>8</v>
      </c>
      <c r="C601" s="24" t="n">
        <v>1549.18</v>
      </c>
      <c r="D601" t="n">
        <v>30</v>
      </c>
    </row>
    <row r="602">
      <c r="A602" t="n">
        <v>2023</v>
      </c>
      <c r="B602" t="n">
        <v>8</v>
      </c>
      <c r="C602" s="24" t="n">
        <v>1592.14</v>
      </c>
      <c r="D602" t="n">
        <v>31</v>
      </c>
    </row>
    <row r="603">
      <c r="A603" t="n">
        <v>2023</v>
      </c>
      <c r="B603" t="n">
        <v>9</v>
      </c>
      <c r="C603" s="24" t="n">
        <v>6076.35</v>
      </c>
      <c r="D603" t="n">
        <v>1</v>
      </c>
    </row>
    <row r="604">
      <c r="A604" t="n">
        <v>2023</v>
      </c>
      <c r="B604" t="n">
        <v>9</v>
      </c>
      <c r="C604" s="24" t="n">
        <v>236.07</v>
      </c>
      <c r="D604" t="n">
        <v>2</v>
      </c>
    </row>
    <row r="605">
      <c r="A605" t="n">
        <v>2023</v>
      </c>
      <c r="B605" t="n">
        <v>9</v>
      </c>
      <c r="C605" s="24" t="n">
        <v>1115.15</v>
      </c>
      <c r="D605" t="n">
        <v>3</v>
      </c>
    </row>
    <row r="606">
      <c r="A606" t="n">
        <v>2023</v>
      </c>
      <c r="B606" t="n">
        <v>9</v>
      </c>
      <c r="C606" s="24" t="n">
        <v>2916.96</v>
      </c>
      <c r="D606" t="n">
        <v>4</v>
      </c>
    </row>
    <row r="607">
      <c r="A607" t="n">
        <v>2023</v>
      </c>
      <c r="B607" t="n">
        <v>9</v>
      </c>
      <c r="C607" s="24" t="n">
        <v>3391.18</v>
      </c>
      <c r="D607" t="n">
        <v>5</v>
      </c>
    </row>
    <row r="608">
      <c r="A608" t="n">
        <v>2023</v>
      </c>
      <c r="B608" t="n">
        <v>9</v>
      </c>
      <c r="C608" s="24" t="n">
        <v>5397.74</v>
      </c>
      <c r="D608" t="n">
        <v>6</v>
      </c>
    </row>
    <row r="609">
      <c r="A609" t="n">
        <v>2023</v>
      </c>
      <c r="B609" t="n">
        <v>9</v>
      </c>
      <c r="C609" s="24" t="n">
        <v>929.77</v>
      </c>
      <c r="D609" t="n">
        <v>7</v>
      </c>
    </row>
    <row r="610">
      <c r="A610" t="n">
        <v>2023</v>
      </c>
      <c r="B610" t="n">
        <v>9</v>
      </c>
      <c r="C610" s="24" t="n">
        <v>2208.18</v>
      </c>
      <c r="D610" t="n">
        <v>8</v>
      </c>
    </row>
    <row r="611">
      <c r="A611" t="n">
        <v>2023</v>
      </c>
      <c r="B611" t="n">
        <v>9</v>
      </c>
      <c r="C611" s="24" t="n">
        <v>736.3799999999999</v>
      </c>
      <c r="D611" t="n">
        <v>9</v>
      </c>
    </row>
    <row r="612">
      <c r="A612" t="n">
        <v>2023</v>
      </c>
      <c r="B612" t="n">
        <v>9</v>
      </c>
      <c r="C612" s="24" t="n">
        <v>5171.81</v>
      </c>
      <c r="D612" t="n">
        <v>10</v>
      </c>
    </row>
    <row r="613">
      <c r="A613" t="n">
        <v>2023</v>
      </c>
      <c r="B613" t="n">
        <v>9</v>
      </c>
      <c r="C613" s="24" t="n">
        <v>764.26</v>
      </c>
      <c r="D613" t="n">
        <v>11</v>
      </c>
    </row>
    <row r="614">
      <c r="A614" t="n">
        <v>2023</v>
      </c>
      <c r="B614" t="n">
        <v>9</v>
      </c>
      <c r="C614" s="24" t="n">
        <v>955.65</v>
      </c>
      <c r="D614" t="n">
        <v>12</v>
      </c>
    </row>
    <row r="615">
      <c r="A615" t="n">
        <v>2023</v>
      </c>
      <c r="B615" t="n">
        <v>9</v>
      </c>
      <c r="C615" s="24" t="n">
        <v>5941.85</v>
      </c>
      <c r="D615" t="n">
        <v>13</v>
      </c>
    </row>
    <row r="616">
      <c r="A616" t="n">
        <v>2023</v>
      </c>
      <c r="B616" t="n">
        <v>9</v>
      </c>
      <c r="C616" s="24" t="n">
        <v>1404.94</v>
      </c>
      <c r="D616" t="n">
        <v>14</v>
      </c>
    </row>
    <row r="617">
      <c r="A617" t="n">
        <v>2023</v>
      </c>
      <c r="B617" t="n">
        <v>9</v>
      </c>
      <c r="C617" s="24" t="n">
        <v>1858.74</v>
      </c>
      <c r="D617" t="n">
        <v>15</v>
      </c>
    </row>
    <row r="618">
      <c r="A618" t="n">
        <v>2023</v>
      </c>
      <c r="B618" t="n">
        <v>9</v>
      </c>
      <c r="C618" s="24" t="n">
        <v>3865.87</v>
      </c>
      <c r="D618" t="n">
        <v>16</v>
      </c>
    </row>
    <row r="619">
      <c r="A619" t="n">
        <v>2023</v>
      </c>
      <c r="B619" t="n">
        <v>9</v>
      </c>
      <c r="C619" s="24" t="n">
        <v>1727.92</v>
      </c>
      <c r="D619" t="n">
        <v>17</v>
      </c>
    </row>
    <row r="620">
      <c r="A620" t="n">
        <v>2023</v>
      </c>
      <c r="B620" t="n">
        <v>9</v>
      </c>
      <c r="C620" s="24" t="n">
        <v>8890.879999999999</v>
      </c>
      <c r="D620" t="n">
        <v>18</v>
      </c>
    </row>
    <row r="621">
      <c r="A621" t="n">
        <v>2023</v>
      </c>
      <c r="B621" t="n">
        <v>9</v>
      </c>
      <c r="C621" s="24" t="n">
        <v>2588.8</v>
      </c>
      <c r="D621" t="n">
        <v>19</v>
      </c>
    </row>
    <row r="622">
      <c r="A622" t="n">
        <v>2023</v>
      </c>
      <c r="B622" t="n">
        <v>9</v>
      </c>
      <c r="C622" s="24" t="n">
        <v>1484.32</v>
      </c>
      <c r="D622" t="n">
        <v>20</v>
      </c>
    </row>
    <row r="623">
      <c r="A623" t="n">
        <v>2023</v>
      </c>
      <c r="B623" t="n">
        <v>9</v>
      </c>
      <c r="C623" s="24" t="n">
        <v>271.68</v>
      </c>
      <c r="D623" t="n">
        <v>21</v>
      </c>
    </row>
    <row r="624">
      <c r="A624" t="n">
        <v>2023</v>
      </c>
      <c r="B624" t="n">
        <v>9</v>
      </c>
      <c r="C624" s="24" t="n">
        <v>3755.34</v>
      </c>
      <c r="D624" t="n">
        <v>22</v>
      </c>
    </row>
    <row r="625">
      <c r="A625" t="n">
        <v>2023</v>
      </c>
      <c r="B625" t="n">
        <v>9</v>
      </c>
      <c r="C625" s="24" t="n">
        <v>2315.39</v>
      </c>
      <c r="D625" t="n">
        <v>23</v>
      </c>
    </row>
    <row r="626">
      <c r="A626" t="n">
        <v>2023</v>
      </c>
      <c r="B626" t="n">
        <v>9</v>
      </c>
      <c r="C626" s="24" t="n">
        <v>3140.39</v>
      </c>
      <c r="D626" t="n">
        <v>24</v>
      </c>
    </row>
    <row r="627">
      <c r="A627" t="n">
        <v>2023</v>
      </c>
      <c r="B627" t="n">
        <v>9</v>
      </c>
      <c r="C627" s="24" t="n">
        <v>1482.68</v>
      </c>
      <c r="D627" t="n">
        <v>25</v>
      </c>
    </row>
    <row r="628">
      <c r="A628" t="n">
        <v>2023</v>
      </c>
      <c r="B628" t="n">
        <v>9</v>
      </c>
      <c r="C628" s="24" t="n">
        <v>378.81</v>
      </c>
      <c r="D628" t="n">
        <v>26</v>
      </c>
    </row>
    <row r="629">
      <c r="A629" t="n">
        <v>2023</v>
      </c>
      <c r="B629" t="n">
        <v>9</v>
      </c>
      <c r="C629" s="24" t="n">
        <v>3123.94</v>
      </c>
      <c r="D629" t="n">
        <v>27</v>
      </c>
    </row>
    <row r="630">
      <c r="A630" t="n">
        <v>2023</v>
      </c>
      <c r="B630" t="n">
        <v>9</v>
      </c>
      <c r="C630" s="24" t="n">
        <v>1611.45</v>
      </c>
      <c r="D630" t="n">
        <v>28</v>
      </c>
    </row>
    <row r="631">
      <c r="A631" t="n">
        <v>2023</v>
      </c>
      <c r="B631" t="n">
        <v>9</v>
      </c>
      <c r="C631" s="24" t="n">
        <v>2261.24</v>
      </c>
      <c r="D631" t="n">
        <v>29</v>
      </c>
    </row>
    <row r="632">
      <c r="A632" t="n">
        <v>2023</v>
      </c>
      <c r="B632" t="n">
        <v>9</v>
      </c>
      <c r="C632" s="24" t="n">
        <v>1195.38</v>
      </c>
      <c r="D632" t="n">
        <v>30</v>
      </c>
    </row>
    <row r="633">
      <c r="A633" t="n">
        <v>2023</v>
      </c>
      <c r="B633" t="n">
        <v>10</v>
      </c>
      <c r="C633" s="24" t="n">
        <v>2346.38</v>
      </c>
      <c r="D633" t="n">
        <v>1</v>
      </c>
    </row>
    <row r="634">
      <c r="A634" t="n">
        <v>2023</v>
      </c>
      <c r="B634" t="n">
        <v>10</v>
      </c>
      <c r="C634" s="24" t="n">
        <v>1309.88</v>
      </c>
      <c r="D634" t="n">
        <v>2</v>
      </c>
    </row>
    <row r="635">
      <c r="A635" t="n">
        <v>2023</v>
      </c>
      <c r="B635" t="n">
        <v>10</v>
      </c>
      <c r="C635" s="24" t="n">
        <v>4307.77</v>
      </c>
      <c r="D635" t="n">
        <v>3</v>
      </c>
    </row>
    <row r="636">
      <c r="A636" t="n">
        <v>2023</v>
      </c>
      <c r="B636" t="n">
        <v>10</v>
      </c>
      <c r="C636" s="24" t="n">
        <v>5062.02</v>
      </c>
      <c r="D636" t="n">
        <v>4</v>
      </c>
    </row>
    <row r="637">
      <c r="A637" t="n">
        <v>2023</v>
      </c>
      <c r="B637" t="n">
        <v>10</v>
      </c>
      <c r="C637" s="24" t="n">
        <v>5626.83</v>
      </c>
      <c r="D637" t="n">
        <v>5</v>
      </c>
    </row>
    <row r="638">
      <c r="A638" t="n">
        <v>2023</v>
      </c>
      <c r="B638" t="n">
        <v>10</v>
      </c>
      <c r="C638" s="24" t="n">
        <v>121</v>
      </c>
      <c r="D638" t="n">
        <v>6</v>
      </c>
    </row>
    <row r="639">
      <c r="A639" t="n">
        <v>2023</v>
      </c>
      <c r="B639" t="n">
        <v>10</v>
      </c>
      <c r="C639" s="24" t="n">
        <v>5319.83</v>
      </c>
      <c r="D639" t="n">
        <v>7</v>
      </c>
    </row>
    <row r="640">
      <c r="A640" t="n">
        <v>2023</v>
      </c>
      <c r="B640" t="n">
        <v>10</v>
      </c>
      <c r="C640" s="24" t="n">
        <v>2533.15</v>
      </c>
      <c r="D640" t="n">
        <v>8</v>
      </c>
    </row>
    <row r="641">
      <c r="A641" t="n">
        <v>2023</v>
      </c>
      <c r="B641" t="n">
        <v>10</v>
      </c>
      <c r="C641" s="24" t="n">
        <v>4841.64</v>
      </c>
      <c r="D641" t="n">
        <v>9</v>
      </c>
    </row>
    <row r="642">
      <c r="A642" t="n">
        <v>2023</v>
      </c>
      <c r="B642" t="n">
        <v>10</v>
      </c>
      <c r="C642" s="24" t="n">
        <v>5290.440000000001</v>
      </c>
      <c r="D642" t="n">
        <v>10</v>
      </c>
    </row>
    <row r="643">
      <c r="A643" t="n">
        <v>2023</v>
      </c>
      <c r="B643" t="n">
        <v>10</v>
      </c>
      <c r="C643" s="24" t="n">
        <v>3774.32</v>
      </c>
      <c r="D643" t="n">
        <v>11</v>
      </c>
    </row>
    <row r="644">
      <c r="A644" t="n">
        <v>2023</v>
      </c>
      <c r="B644" t="n">
        <v>10</v>
      </c>
      <c r="C644" s="24" t="n">
        <v>4333.7</v>
      </c>
      <c r="D644" t="n">
        <v>12</v>
      </c>
    </row>
    <row r="645">
      <c r="A645" t="n">
        <v>2023</v>
      </c>
      <c r="B645" t="n">
        <v>10</v>
      </c>
      <c r="C645" s="24" t="n">
        <v>2925.45</v>
      </c>
      <c r="D645" t="n">
        <v>13</v>
      </c>
    </row>
    <row r="646">
      <c r="A646" t="n">
        <v>2023</v>
      </c>
      <c r="B646" t="n">
        <v>10</v>
      </c>
      <c r="C646" s="24" t="n">
        <v>5341.78</v>
      </c>
      <c r="D646" t="n">
        <v>14</v>
      </c>
    </row>
    <row r="647">
      <c r="A647" t="n">
        <v>2023</v>
      </c>
      <c r="B647" t="n">
        <v>10</v>
      </c>
      <c r="C647" s="24" t="n">
        <v>1669.36</v>
      </c>
      <c r="D647" t="n">
        <v>15</v>
      </c>
    </row>
    <row r="648">
      <c r="A648" t="n">
        <v>2023</v>
      </c>
      <c r="B648" t="n">
        <v>10</v>
      </c>
      <c r="C648" s="24" t="n">
        <v>1247.19</v>
      </c>
      <c r="D648" t="n">
        <v>16</v>
      </c>
    </row>
    <row r="649">
      <c r="A649" t="n">
        <v>2023</v>
      </c>
      <c r="B649" t="n">
        <v>10</v>
      </c>
      <c r="C649" s="24" t="n">
        <v>3674.54</v>
      </c>
      <c r="D649" t="n">
        <v>17</v>
      </c>
    </row>
    <row r="650">
      <c r="A650" t="n">
        <v>2023</v>
      </c>
      <c r="B650" t="n">
        <v>10</v>
      </c>
      <c r="C650" s="24" t="n">
        <v>6396.91</v>
      </c>
      <c r="D650" t="n">
        <v>18</v>
      </c>
    </row>
    <row r="651">
      <c r="A651" t="n">
        <v>2023</v>
      </c>
      <c r="B651" t="n">
        <v>10</v>
      </c>
      <c r="C651" s="24" t="n">
        <v>4882.52</v>
      </c>
      <c r="D651" t="n">
        <v>19</v>
      </c>
    </row>
    <row r="652">
      <c r="A652" t="n">
        <v>2023</v>
      </c>
      <c r="B652" t="n">
        <v>10</v>
      </c>
      <c r="C652" s="24" t="n">
        <v>3271.73</v>
      </c>
      <c r="D652" t="n">
        <v>20</v>
      </c>
    </row>
    <row r="653">
      <c r="A653" t="n">
        <v>2023</v>
      </c>
      <c r="B653" t="n">
        <v>10</v>
      </c>
      <c r="C653" s="24" t="n">
        <v>2322.3</v>
      </c>
      <c r="D653" t="n">
        <v>21</v>
      </c>
    </row>
    <row r="654">
      <c r="A654" t="n">
        <v>2023</v>
      </c>
      <c r="B654" t="n">
        <v>10</v>
      </c>
      <c r="C654" s="24" t="n">
        <v>1308.51</v>
      </c>
      <c r="D654" t="n">
        <v>22</v>
      </c>
    </row>
    <row r="655">
      <c r="A655" t="n">
        <v>2023</v>
      </c>
      <c r="B655" t="n">
        <v>10</v>
      </c>
      <c r="C655" s="24" t="n">
        <v>11733.73</v>
      </c>
      <c r="D655" t="n">
        <v>23</v>
      </c>
    </row>
    <row r="656">
      <c r="A656" t="n">
        <v>2023</v>
      </c>
      <c r="B656" t="n">
        <v>10</v>
      </c>
      <c r="C656" s="24" t="n">
        <v>248.16</v>
      </c>
      <c r="D656" t="n">
        <v>24</v>
      </c>
    </row>
    <row r="657">
      <c r="A657" t="n">
        <v>2023</v>
      </c>
      <c r="B657" t="n">
        <v>10</v>
      </c>
      <c r="C657" s="24" t="n">
        <v>1694.36</v>
      </c>
      <c r="D657" t="n">
        <v>25</v>
      </c>
    </row>
    <row r="658">
      <c r="A658" t="n">
        <v>2023</v>
      </c>
      <c r="B658" t="n">
        <v>10</v>
      </c>
      <c r="C658" s="24" t="n">
        <v>4529.96</v>
      </c>
      <c r="D658" t="n">
        <v>26</v>
      </c>
    </row>
    <row r="659">
      <c r="A659" t="n">
        <v>2023</v>
      </c>
      <c r="B659" t="n">
        <v>10</v>
      </c>
      <c r="C659" s="24" t="n">
        <v>864.62</v>
      </c>
      <c r="D659" t="n">
        <v>27</v>
      </c>
    </row>
    <row r="660">
      <c r="A660" t="n">
        <v>2023</v>
      </c>
      <c r="B660" t="n">
        <v>10</v>
      </c>
      <c r="C660" s="24" t="n">
        <v>1915.32</v>
      </c>
      <c r="D660" t="n">
        <v>28</v>
      </c>
    </row>
    <row r="661">
      <c r="A661" t="n">
        <v>2023</v>
      </c>
      <c r="B661" t="n">
        <v>10</v>
      </c>
      <c r="C661" s="24" t="n">
        <v>593.6</v>
      </c>
      <c r="D661" t="n">
        <v>29</v>
      </c>
    </row>
    <row r="662">
      <c r="A662" t="n">
        <v>2023</v>
      </c>
      <c r="B662" t="n">
        <v>10</v>
      </c>
      <c r="C662" s="24" t="n">
        <v>720.16</v>
      </c>
      <c r="D662" t="n">
        <v>30</v>
      </c>
    </row>
    <row r="663">
      <c r="A663" t="n">
        <v>2023</v>
      </c>
      <c r="B663" t="n">
        <v>10</v>
      </c>
      <c r="C663" s="24" t="n">
        <v>5716.4</v>
      </c>
      <c r="D663" t="n">
        <v>31</v>
      </c>
    </row>
    <row r="664">
      <c r="A664" t="n">
        <v>2023</v>
      </c>
      <c r="B664" t="n">
        <v>11</v>
      </c>
      <c r="C664" s="24" t="n">
        <v>9276.720000000001</v>
      </c>
      <c r="D664" t="n">
        <v>1</v>
      </c>
    </row>
    <row r="665">
      <c r="A665" t="n">
        <v>2023</v>
      </c>
      <c r="B665" t="n">
        <v>11</v>
      </c>
      <c r="C665" s="24" t="n">
        <v>11292.35</v>
      </c>
      <c r="D665" t="n">
        <v>2</v>
      </c>
    </row>
    <row r="666">
      <c r="A666" t="n">
        <v>2023</v>
      </c>
      <c r="B666" t="n">
        <v>11</v>
      </c>
      <c r="C666" s="24" t="n">
        <v>8122.04</v>
      </c>
      <c r="D666" t="n">
        <v>3</v>
      </c>
    </row>
    <row r="667">
      <c r="A667" t="n">
        <v>2023</v>
      </c>
      <c r="B667" t="n">
        <v>11</v>
      </c>
      <c r="C667" s="24" t="n">
        <v>3038.44</v>
      </c>
      <c r="D667" t="n">
        <v>4</v>
      </c>
    </row>
    <row r="668">
      <c r="A668" t="n">
        <v>2023</v>
      </c>
      <c r="B668" t="n">
        <v>11</v>
      </c>
      <c r="C668" s="24" t="n">
        <v>4540.940000000001</v>
      </c>
      <c r="D668" t="n">
        <v>5</v>
      </c>
    </row>
    <row r="669">
      <c r="A669" t="n">
        <v>2023</v>
      </c>
      <c r="B669" t="n">
        <v>11</v>
      </c>
      <c r="C669" s="24" t="n">
        <v>1918.86</v>
      </c>
      <c r="D669" t="n">
        <v>6</v>
      </c>
    </row>
    <row r="670">
      <c r="A670" t="n">
        <v>2023</v>
      </c>
      <c r="B670" t="n">
        <v>11</v>
      </c>
      <c r="C670" s="24" t="n">
        <v>2438.76</v>
      </c>
      <c r="D670" t="n">
        <v>7</v>
      </c>
    </row>
    <row r="671">
      <c r="A671" t="n">
        <v>2023</v>
      </c>
      <c r="B671" t="n">
        <v>11</v>
      </c>
      <c r="C671" s="24" t="n">
        <v>4091.81</v>
      </c>
      <c r="D671" t="n">
        <v>8</v>
      </c>
    </row>
    <row r="672">
      <c r="A672" t="n">
        <v>2023</v>
      </c>
      <c r="B672" t="n">
        <v>11</v>
      </c>
      <c r="C672" s="24" t="n">
        <v>2857.66</v>
      </c>
      <c r="D672" t="n">
        <v>9</v>
      </c>
    </row>
    <row r="673">
      <c r="A673" t="n">
        <v>2023</v>
      </c>
      <c r="B673" t="n">
        <v>11</v>
      </c>
      <c r="C673" s="24" t="n">
        <v>11722.91</v>
      </c>
      <c r="D673" t="n">
        <v>10</v>
      </c>
    </row>
    <row r="674">
      <c r="A674" t="n">
        <v>2023</v>
      </c>
      <c r="B674" t="n">
        <v>11</v>
      </c>
      <c r="C674" s="24" t="n">
        <v>2767.58</v>
      </c>
      <c r="D674" t="n">
        <v>11</v>
      </c>
    </row>
    <row r="675">
      <c r="A675" t="n">
        <v>2023</v>
      </c>
      <c r="B675" t="n">
        <v>11</v>
      </c>
      <c r="C675" s="24" t="n">
        <v>875.5</v>
      </c>
      <c r="D675" t="n">
        <v>12</v>
      </c>
    </row>
    <row r="676">
      <c r="A676" t="n">
        <v>2023</v>
      </c>
      <c r="B676" t="n">
        <v>11</v>
      </c>
      <c r="C676" s="24" t="n">
        <v>1634.33</v>
      </c>
      <c r="D676" t="n">
        <v>13</v>
      </c>
    </row>
    <row r="677">
      <c r="A677" t="n">
        <v>2023</v>
      </c>
      <c r="B677" t="n">
        <v>11</v>
      </c>
      <c r="C677" s="24" t="n">
        <v>3396.76</v>
      </c>
      <c r="D677" t="n">
        <v>14</v>
      </c>
    </row>
    <row r="678">
      <c r="A678" t="n">
        <v>2023</v>
      </c>
      <c r="B678" t="n">
        <v>11</v>
      </c>
      <c r="C678" s="24" t="n">
        <v>5098.6</v>
      </c>
      <c r="D678" t="n">
        <v>15</v>
      </c>
    </row>
    <row r="679">
      <c r="A679" t="n">
        <v>2023</v>
      </c>
      <c r="B679" t="n">
        <v>11</v>
      </c>
      <c r="C679" s="24" t="n">
        <v>4765.900000000001</v>
      </c>
      <c r="D679" t="n">
        <v>16</v>
      </c>
    </row>
    <row r="680">
      <c r="A680" t="n">
        <v>2023</v>
      </c>
      <c r="B680" t="n">
        <v>11</v>
      </c>
      <c r="C680" s="24" t="n">
        <v>3041.44</v>
      </c>
      <c r="D680" t="n">
        <v>17</v>
      </c>
    </row>
    <row r="681">
      <c r="A681" t="n">
        <v>2023</v>
      </c>
      <c r="B681" t="n">
        <v>11</v>
      </c>
      <c r="C681" s="24" t="n">
        <v>1229.64</v>
      </c>
      <c r="D681" t="n">
        <v>18</v>
      </c>
    </row>
    <row r="682">
      <c r="A682" t="n">
        <v>2023</v>
      </c>
      <c r="B682" t="n">
        <v>11</v>
      </c>
      <c r="C682" s="24" t="n">
        <v>253.08</v>
      </c>
      <c r="D682" t="n">
        <v>19</v>
      </c>
    </row>
    <row r="683">
      <c r="A683" t="n">
        <v>2023</v>
      </c>
      <c r="B683" t="n">
        <v>11</v>
      </c>
      <c r="C683" s="24" t="n">
        <v>3847.85</v>
      </c>
      <c r="D683" t="n">
        <v>20</v>
      </c>
    </row>
    <row r="684">
      <c r="A684" t="n">
        <v>2023</v>
      </c>
      <c r="B684" t="n">
        <v>11</v>
      </c>
      <c r="C684" s="24" t="n">
        <v>6001.26</v>
      </c>
      <c r="D684" t="n">
        <v>22</v>
      </c>
    </row>
    <row r="685">
      <c r="A685" t="n">
        <v>2023</v>
      </c>
      <c r="B685" t="n">
        <v>11</v>
      </c>
      <c r="C685" s="24" t="n">
        <v>4807.74</v>
      </c>
      <c r="D685" t="n">
        <v>23</v>
      </c>
    </row>
    <row r="686">
      <c r="A686" t="n">
        <v>2023</v>
      </c>
      <c r="B686" t="n">
        <v>11</v>
      </c>
      <c r="C686" s="24" t="n">
        <v>3442.96</v>
      </c>
      <c r="D686" t="n">
        <v>24</v>
      </c>
    </row>
    <row r="687">
      <c r="A687" t="n">
        <v>2023</v>
      </c>
      <c r="B687" t="n">
        <v>11</v>
      </c>
      <c r="C687" s="24" t="n">
        <v>1817.2</v>
      </c>
      <c r="D687" t="n">
        <v>25</v>
      </c>
    </row>
    <row r="688">
      <c r="A688" t="n">
        <v>2023</v>
      </c>
      <c r="B688" t="n">
        <v>11</v>
      </c>
      <c r="C688" s="24" t="n">
        <v>1262.77</v>
      </c>
      <c r="D688" t="n">
        <v>26</v>
      </c>
    </row>
    <row r="689">
      <c r="A689" t="n">
        <v>2023</v>
      </c>
      <c r="B689" t="n">
        <v>11</v>
      </c>
      <c r="C689" s="24" t="n">
        <v>7763.15</v>
      </c>
      <c r="D689" t="n">
        <v>27</v>
      </c>
    </row>
    <row r="690">
      <c r="A690" t="n">
        <v>2023</v>
      </c>
      <c r="B690" t="n">
        <v>11</v>
      </c>
      <c r="C690" s="24" t="n">
        <v>2947.2</v>
      </c>
      <c r="D690" t="n">
        <v>28</v>
      </c>
    </row>
    <row r="691">
      <c r="A691" t="n">
        <v>2023</v>
      </c>
      <c r="B691" t="n">
        <v>11</v>
      </c>
      <c r="C691" s="24" t="n">
        <v>5843.58</v>
      </c>
      <c r="D691" t="n">
        <v>29</v>
      </c>
    </row>
    <row r="692">
      <c r="A692" t="n">
        <v>2023</v>
      </c>
      <c r="B692" t="n">
        <v>11</v>
      </c>
      <c r="C692" s="24" t="n">
        <v>4740.28</v>
      </c>
      <c r="D692" t="n">
        <v>30</v>
      </c>
    </row>
    <row r="693">
      <c r="A693" t="n">
        <v>2023</v>
      </c>
      <c r="B693" t="n">
        <v>12</v>
      </c>
      <c r="C693" s="24" t="n">
        <v>3236.36</v>
      </c>
      <c r="D693" t="n">
        <v>1</v>
      </c>
    </row>
    <row r="694">
      <c r="A694" t="n">
        <v>2023</v>
      </c>
      <c r="B694" t="n">
        <v>12</v>
      </c>
      <c r="C694" s="24" t="n">
        <v>3912.87</v>
      </c>
      <c r="D694" t="n">
        <v>2</v>
      </c>
    </row>
    <row r="695">
      <c r="A695" t="n">
        <v>2023</v>
      </c>
      <c r="B695" t="n">
        <v>12</v>
      </c>
      <c r="C695" s="24" t="n">
        <v>1888.25</v>
      </c>
      <c r="D695" t="n">
        <v>3</v>
      </c>
    </row>
    <row r="696">
      <c r="A696" t="n">
        <v>2023</v>
      </c>
      <c r="B696" t="n">
        <v>12</v>
      </c>
      <c r="C696" s="24" t="n">
        <v>2522.96</v>
      </c>
      <c r="D696" t="n">
        <v>4</v>
      </c>
    </row>
    <row r="697">
      <c r="A697" t="n">
        <v>2023</v>
      </c>
      <c r="B697" t="n">
        <v>12</v>
      </c>
      <c r="C697" s="24" t="n">
        <v>8815.57</v>
      </c>
      <c r="D697" t="n">
        <v>5</v>
      </c>
    </row>
    <row r="698">
      <c r="A698" t="n">
        <v>2023</v>
      </c>
      <c r="B698" t="n">
        <v>12</v>
      </c>
      <c r="C698" s="24" t="n">
        <v>2574.88</v>
      </c>
      <c r="D698" t="n">
        <v>6</v>
      </c>
    </row>
    <row r="699">
      <c r="A699" t="n">
        <v>2023</v>
      </c>
      <c r="B699" t="n">
        <v>12</v>
      </c>
      <c r="C699" s="24" t="n">
        <v>6761.84</v>
      </c>
      <c r="D699" t="n">
        <v>7</v>
      </c>
    </row>
    <row r="700">
      <c r="A700" t="n">
        <v>2023</v>
      </c>
      <c r="B700" t="n">
        <v>12</v>
      </c>
      <c r="C700" s="24" t="n">
        <v>8900.4</v>
      </c>
      <c r="D700" t="n">
        <v>8</v>
      </c>
    </row>
    <row r="701">
      <c r="A701" t="n">
        <v>2023</v>
      </c>
      <c r="B701" t="n">
        <v>12</v>
      </c>
      <c r="C701" s="24" t="n">
        <v>4535.37</v>
      </c>
      <c r="D701" t="n">
        <v>9</v>
      </c>
    </row>
    <row r="702">
      <c r="A702" t="n">
        <v>2023</v>
      </c>
      <c r="B702" t="n">
        <v>12</v>
      </c>
      <c r="C702" s="24" t="n">
        <v>2002.23</v>
      </c>
      <c r="D702" t="n">
        <v>10</v>
      </c>
    </row>
    <row r="703">
      <c r="A703" t="n">
        <v>2023</v>
      </c>
      <c r="B703" t="n">
        <v>12</v>
      </c>
      <c r="C703" s="24" t="n">
        <v>4542.29</v>
      </c>
      <c r="D703" t="n">
        <v>11</v>
      </c>
    </row>
    <row r="704">
      <c r="A704" t="n">
        <v>2023</v>
      </c>
      <c r="B704" t="n">
        <v>12</v>
      </c>
      <c r="C704" s="24" t="n">
        <v>4941.63</v>
      </c>
      <c r="D704" t="n">
        <v>12</v>
      </c>
    </row>
    <row r="705">
      <c r="A705" t="n">
        <v>2023</v>
      </c>
      <c r="B705" t="n">
        <v>12</v>
      </c>
      <c r="C705" s="24" t="n">
        <v>4324.65</v>
      </c>
      <c r="D705" t="n">
        <v>13</v>
      </c>
    </row>
    <row r="706">
      <c r="A706" t="n">
        <v>2023</v>
      </c>
      <c r="B706" t="n">
        <v>12</v>
      </c>
      <c r="C706" s="24" t="n">
        <v>8944.449999999999</v>
      </c>
      <c r="D706" t="n">
        <v>14</v>
      </c>
    </row>
    <row r="707">
      <c r="A707" t="n">
        <v>2023</v>
      </c>
      <c r="B707" t="n">
        <v>12</v>
      </c>
      <c r="C707" s="24" t="n">
        <v>648.24</v>
      </c>
      <c r="D707" t="n">
        <v>15</v>
      </c>
    </row>
    <row r="708">
      <c r="A708" t="n">
        <v>2023</v>
      </c>
      <c r="B708" t="n">
        <v>12</v>
      </c>
      <c r="C708" s="24" t="n">
        <v>786.24</v>
      </c>
      <c r="D708" t="n">
        <v>16</v>
      </c>
    </row>
    <row r="709">
      <c r="A709" t="n">
        <v>2023</v>
      </c>
      <c r="B709" t="n">
        <v>12</v>
      </c>
      <c r="C709" s="24" t="n">
        <v>3912.39</v>
      </c>
      <c r="D709" t="n">
        <v>17</v>
      </c>
    </row>
    <row r="710">
      <c r="A710" t="n">
        <v>2023</v>
      </c>
      <c r="B710" t="n">
        <v>12</v>
      </c>
      <c r="C710" s="24" t="n">
        <v>974.4200000000001</v>
      </c>
      <c r="D710" t="n">
        <v>18</v>
      </c>
    </row>
    <row r="711">
      <c r="A711" t="n">
        <v>2023</v>
      </c>
      <c r="B711" t="n">
        <v>12</v>
      </c>
      <c r="C711" s="24" t="n">
        <v>4136.51</v>
      </c>
      <c r="D711" t="n">
        <v>19</v>
      </c>
    </row>
    <row r="712">
      <c r="A712" t="n">
        <v>2023</v>
      </c>
      <c r="B712" t="n">
        <v>12</v>
      </c>
      <c r="C712" s="24" t="n">
        <v>3244.41</v>
      </c>
      <c r="D712" t="n">
        <v>20</v>
      </c>
    </row>
    <row r="713">
      <c r="A713" t="n">
        <v>2023</v>
      </c>
      <c r="B713" t="n">
        <v>12</v>
      </c>
      <c r="C713" s="24" t="n">
        <v>3001.86</v>
      </c>
      <c r="D713" t="n">
        <v>21</v>
      </c>
    </row>
    <row r="714">
      <c r="A714" t="n">
        <v>2023</v>
      </c>
      <c r="B714" t="n">
        <v>12</v>
      </c>
      <c r="C714" s="24" t="n">
        <v>1338.3</v>
      </c>
      <c r="D714" t="n">
        <v>23</v>
      </c>
    </row>
    <row r="715">
      <c r="A715" t="n">
        <v>2023</v>
      </c>
      <c r="B715" t="n">
        <v>12</v>
      </c>
      <c r="C715" s="24" t="n">
        <v>3295.9</v>
      </c>
      <c r="D715" t="n">
        <v>24</v>
      </c>
    </row>
    <row r="716">
      <c r="A716" t="n">
        <v>2023</v>
      </c>
      <c r="B716" t="n">
        <v>12</v>
      </c>
      <c r="C716" s="24" t="n">
        <v>3122.71</v>
      </c>
      <c r="D716" t="n">
        <v>25</v>
      </c>
    </row>
    <row r="717">
      <c r="A717" t="n">
        <v>2023</v>
      </c>
      <c r="B717" t="n">
        <v>12</v>
      </c>
      <c r="C717" s="24" t="n">
        <v>4952.2</v>
      </c>
      <c r="D717" t="n">
        <v>26</v>
      </c>
    </row>
    <row r="718">
      <c r="A718" t="n">
        <v>2023</v>
      </c>
      <c r="B718" t="n">
        <v>12</v>
      </c>
      <c r="C718" s="24" t="n">
        <v>1303.6</v>
      </c>
      <c r="D718" t="n">
        <v>27</v>
      </c>
    </row>
    <row r="719">
      <c r="A719" t="n">
        <v>2023</v>
      </c>
      <c r="B719" t="n">
        <v>12</v>
      </c>
      <c r="C719" s="24" t="n">
        <v>4770.19</v>
      </c>
      <c r="D719" t="n">
        <v>28</v>
      </c>
    </row>
    <row r="720">
      <c r="A720" t="n">
        <v>2023</v>
      </c>
      <c r="B720" t="n">
        <v>12</v>
      </c>
      <c r="C720" s="24" t="n">
        <v>1895.52</v>
      </c>
      <c r="D720" t="n">
        <v>29</v>
      </c>
    </row>
    <row r="721">
      <c r="A721" t="n">
        <v>2023</v>
      </c>
      <c r="B721" t="n">
        <v>12</v>
      </c>
      <c r="C721" s="24" t="n">
        <v>864.17</v>
      </c>
      <c r="D721" t="n">
        <v>30</v>
      </c>
    </row>
    <row r="722">
      <c r="A722" t="n">
        <v>2023</v>
      </c>
      <c r="B722" t="n">
        <v>12</v>
      </c>
      <c r="C722" s="24" t="n">
        <v>2020.76</v>
      </c>
      <c r="D722" t="n">
        <v>31</v>
      </c>
    </row>
    <row r="723">
      <c r="A723" t="n">
        <v>2024</v>
      </c>
      <c r="B723" t="n">
        <v>1</v>
      </c>
      <c r="C723" s="24" t="n">
        <v>222.2</v>
      </c>
      <c r="D723" t="n">
        <v>1</v>
      </c>
    </row>
    <row r="724">
      <c r="A724" t="n">
        <v>2024</v>
      </c>
      <c r="B724" t="n">
        <v>1</v>
      </c>
      <c r="C724" s="24" t="n">
        <v>3318.8</v>
      </c>
      <c r="D724" t="n">
        <v>2</v>
      </c>
    </row>
    <row r="725">
      <c r="A725" t="n">
        <v>2024</v>
      </c>
      <c r="B725" t="n">
        <v>1</v>
      </c>
      <c r="C725" s="24" t="n">
        <v>702.04</v>
      </c>
      <c r="D725" t="n">
        <v>3</v>
      </c>
    </row>
    <row r="726">
      <c r="A726" t="n">
        <v>2024</v>
      </c>
      <c r="B726" t="n">
        <v>1</v>
      </c>
      <c r="C726" s="24" t="n">
        <v>471.68</v>
      </c>
      <c r="D726" t="n">
        <v>4</v>
      </c>
    </row>
    <row r="727">
      <c r="A727" t="n">
        <v>2024</v>
      </c>
      <c r="B727" t="n">
        <v>1</v>
      </c>
      <c r="C727" s="24" t="n">
        <v>4126.67</v>
      </c>
      <c r="D727" t="n">
        <v>5</v>
      </c>
    </row>
    <row r="728">
      <c r="A728" t="n">
        <v>2024</v>
      </c>
      <c r="B728" t="n">
        <v>1</v>
      </c>
      <c r="C728" s="24" t="n">
        <v>780.6200000000001</v>
      </c>
      <c r="D728" t="n">
        <v>6</v>
      </c>
    </row>
    <row r="729">
      <c r="A729" t="n">
        <v>2024</v>
      </c>
      <c r="B729" t="n">
        <v>1</v>
      </c>
      <c r="C729" s="24" t="n">
        <v>2962.6</v>
      </c>
      <c r="D729" t="n">
        <v>7</v>
      </c>
    </row>
    <row r="730">
      <c r="A730" t="n">
        <v>2024</v>
      </c>
      <c r="B730" t="n">
        <v>1</v>
      </c>
      <c r="C730" s="24" t="n">
        <v>145.2</v>
      </c>
      <c r="D730" t="n">
        <v>8</v>
      </c>
    </row>
    <row r="731">
      <c r="A731" t="n">
        <v>2024</v>
      </c>
      <c r="B731" t="n">
        <v>1</v>
      </c>
      <c r="C731" s="24" t="n">
        <v>4064.1</v>
      </c>
      <c r="D731" t="n">
        <v>9</v>
      </c>
    </row>
    <row r="732">
      <c r="A732" t="n">
        <v>2024</v>
      </c>
      <c r="B732" t="n">
        <v>1</v>
      </c>
      <c r="C732" s="24" t="n">
        <v>7414.52</v>
      </c>
      <c r="D732" t="n">
        <v>10</v>
      </c>
    </row>
    <row r="733">
      <c r="A733" t="n">
        <v>2024</v>
      </c>
      <c r="B733" t="n">
        <v>1</v>
      </c>
      <c r="C733" s="24" t="n">
        <v>1219.85</v>
      </c>
      <c r="D733" t="n">
        <v>11</v>
      </c>
    </row>
    <row r="734">
      <c r="A734" t="n">
        <v>2024</v>
      </c>
      <c r="B734" t="n">
        <v>1</v>
      </c>
      <c r="C734" s="24" t="n">
        <v>8091.389999999999</v>
      </c>
      <c r="D734" t="n">
        <v>12</v>
      </c>
    </row>
    <row r="735">
      <c r="A735" t="n">
        <v>2024</v>
      </c>
      <c r="B735" t="n">
        <v>1</v>
      </c>
      <c r="C735" s="24" t="n">
        <v>4778.33</v>
      </c>
      <c r="D735" t="n">
        <v>13</v>
      </c>
    </row>
    <row r="736">
      <c r="A736" t="n">
        <v>2024</v>
      </c>
      <c r="B736" t="n">
        <v>1</v>
      </c>
      <c r="C736" s="24" t="n">
        <v>1931.05</v>
      </c>
      <c r="D736" t="n">
        <v>14</v>
      </c>
    </row>
    <row r="737">
      <c r="A737" t="n">
        <v>2024</v>
      </c>
      <c r="B737" t="n">
        <v>1</v>
      </c>
      <c r="C737" s="24" t="n">
        <v>1584.57</v>
      </c>
      <c r="D737" t="n">
        <v>15</v>
      </c>
    </row>
    <row r="738">
      <c r="A738" t="n">
        <v>2024</v>
      </c>
      <c r="B738" t="n">
        <v>1</v>
      </c>
      <c r="C738" s="24" t="n">
        <v>5817.52</v>
      </c>
      <c r="D738" t="n">
        <v>16</v>
      </c>
    </row>
    <row r="739">
      <c r="A739" t="n">
        <v>2024</v>
      </c>
      <c r="B739" t="n">
        <v>1</v>
      </c>
      <c r="C739" s="24" t="n">
        <v>1158.96</v>
      </c>
      <c r="D739" t="n">
        <v>17</v>
      </c>
    </row>
    <row r="740">
      <c r="A740" t="n">
        <v>2024</v>
      </c>
      <c r="B740" t="n">
        <v>1</v>
      </c>
      <c r="C740" s="24" t="n">
        <v>1802.76</v>
      </c>
      <c r="D740" t="n">
        <v>18</v>
      </c>
    </row>
    <row r="741">
      <c r="A741" t="n">
        <v>2024</v>
      </c>
      <c r="B741" t="n">
        <v>1</v>
      </c>
      <c r="C741" s="24" t="n">
        <v>4319.58</v>
      </c>
      <c r="D741" t="n">
        <v>19</v>
      </c>
    </row>
    <row r="742">
      <c r="A742" t="n">
        <v>2024</v>
      </c>
      <c r="B742" t="n">
        <v>1</v>
      </c>
      <c r="C742" s="24" t="n">
        <v>3343.84</v>
      </c>
      <c r="D742" t="n">
        <v>20</v>
      </c>
    </row>
    <row r="743">
      <c r="A743" t="n">
        <v>2024</v>
      </c>
      <c r="B743" t="n">
        <v>1</v>
      </c>
      <c r="C743" s="24" t="n">
        <v>7508.92</v>
      </c>
      <c r="D743" t="n">
        <v>21</v>
      </c>
    </row>
    <row r="744">
      <c r="A744" t="n">
        <v>2024</v>
      </c>
      <c r="B744" t="n">
        <v>1</v>
      </c>
      <c r="C744" s="24" t="n">
        <v>2631.92</v>
      </c>
      <c r="D744" t="n">
        <v>22</v>
      </c>
    </row>
    <row r="745">
      <c r="A745" t="n">
        <v>2024</v>
      </c>
      <c r="B745" t="n">
        <v>1</v>
      </c>
      <c r="C745" s="24" t="n">
        <v>2956.4</v>
      </c>
      <c r="D745" t="n">
        <v>23</v>
      </c>
    </row>
    <row r="746">
      <c r="A746" t="n">
        <v>2024</v>
      </c>
      <c r="B746" t="n">
        <v>1</v>
      </c>
      <c r="C746" s="24" t="n">
        <v>1139.48</v>
      </c>
      <c r="D746" t="n">
        <v>24</v>
      </c>
    </row>
    <row r="747">
      <c r="A747" t="n">
        <v>2024</v>
      </c>
      <c r="B747" t="n">
        <v>1</v>
      </c>
      <c r="C747" s="24" t="n">
        <v>4647.559999999999</v>
      </c>
      <c r="D747" t="n">
        <v>25</v>
      </c>
    </row>
    <row r="748">
      <c r="A748" t="n">
        <v>2024</v>
      </c>
      <c r="B748" t="n">
        <v>1</v>
      </c>
      <c r="C748" s="24" t="n">
        <v>3719.3</v>
      </c>
      <c r="D748" t="n">
        <v>27</v>
      </c>
    </row>
    <row r="749">
      <c r="A749" t="n">
        <v>2024</v>
      </c>
      <c r="B749" t="n">
        <v>1</v>
      </c>
      <c r="C749" s="24" t="n">
        <v>1310.32</v>
      </c>
      <c r="D749" t="n">
        <v>28</v>
      </c>
    </row>
    <row r="750">
      <c r="A750" t="n">
        <v>2024</v>
      </c>
      <c r="B750" t="n">
        <v>1</v>
      </c>
      <c r="C750" s="24" t="n">
        <v>4101.66</v>
      </c>
      <c r="D750" t="n">
        <v>29</v>
      </c>
    </row>
    <row r="751">
      <c r="A751" t="n">
        <v>2024</v>
      </c>
      <c r="B751" t="n">
        <v>1</v>
      </c>
      <c r="C751" s="24" t="n">
        <v>3493.69</v>
      </c>
      <c r="D751" t="n">
        <v>30</v>
      </c>
    </row>
    <row r="752">
      <c r="A752" t="n">
        <v>2024</v>
      </c>
      <c r="B752" t="n">
        <v>1</v>
      </c>
      <c r="C752" s="24" t="n">
        <v>1304.68</v>
      </c>
      <c r="D752" t="n">
        <v>31</v>
      </c>
    </row>
    <row r="753">
      <c r="A753" t="n">
        <v>2024</v>
      </c>
      <c r="B753" t="n">
        <v>2</v>
      </c>
      <c r="C753" s="24" t="n">
        <v>3956.91</v>
      </c>
      <c r="D753" t="n">
        <v>1</v>
      </c>
    </row>
    <row r="754">
      <c r="A754" t="n">
        <v>2024</v>
      </c>
      <c r="B754" t="n">
        <v>2</v>
      </c>
      <c r="C754" s="24" t="n">
        <v>1391.28</v>
      </c>
      <c r="D754" t="n">
        <v>2</v>
      </c>
    </row>
    <row r="755">
      <c r="A755" t="n">
        <v>2024</v>
      </c>
      <c r="B755" t="n">
        <v>2</v>
      </c>
      <c r="C755" s="24" t="n">
        <v>7432.65</v>
      </c>
      <c r="D755" t="n">
        <v>3</v>
      </c>
    </row>
    <row r="756">
      <c r="A756" t="n">
        <v>2024</v>
      </c>
      <c r="B756" t="n">
        <v>2</v>
      </c>
      <c r="C756" s="24" t="n">
        <v>2898.96</v>
      </c>
      <c r="D756" t="n">
        <v>4</v>
      </c>
    </row>
    <row r="757">
      <c r="A757" t="n">
        <v>2024</v>
      </c>
      <c r="B757" t="n">
        <v>2</v>
      </c>
      <c r="C757" s="24" t="n">
        <v>963.0599999999999</v>
      </c>
      <c r="D757" t="n">
        <v>5</v>
      </c>
    </row>
    <row r="758">
      <c r="A758" t="n">
        <v>2024</v>
      </c>
      <c r="B758" t="n">
        <v>2</v>
      </c>
      <c r="C758" s="24" t="n">
        <v>2868.88</v>
      </c>
      <c r="D758" t="n">
        <v>6</v>
      </c>
    </row>
    <row r="759">
      <c r="A759" t="n">
        <v>2024</v>
      </c>
      <c r="B759" t="n">
        <v>2</v>
      </c>
      <c r="C759" s="24" t="n">
        <v>2596.78</v>
      </c>
      <c r="D759" t="n">
        <v>7</v>
      </c>
    </row>
    <row r="760">
      <c r="A760" t="n">
        <v>2024</v>
      </c>
      <c r="B760" t="n">
        <v>2</v>
      </c>
      <c r="C760" s="24" t="n">
        <v>3714.96</v>
      </c>
      <c r="D760" t="n">
        <v>8</v>
      </c>
    </row>
    <row r="761">
      <c r="A761" t="n">
        <v>2024</v>
      </c>
      <c r="B761" t="n">
        <v>2</v>
      </c>
      <c r="C761" s="24" t="n">
        <v>3158.6</v>
      </c>
      <c r="D761" t="n">
        <v>9</v>
      </c>
    </row>
    <row r="762">
      <c r="A762" t="n">
        <v>2024</v>
      </c>
      <c r="B762" t="n">
        <v>2</v>
      </c>
      <c r="C762" s="24" t="n">
        <v>2020.44</v>
      </c>
      <c r="D762" t="n">
        <v>10</v>
      </c>
    </row>
    <row r="763">
      <c r="A763" t="n">
        <v>2024</v>
      </c>
      <c r="B763" t="n">
        <v>2</v>
      </c>
      <c r="C763" s="24" t="n">
        <v>1654.6</v>
      </c>
      <c r="D763" t="n">
        <v>11</v>
      </c>
    </row>
    <row r="764">
      <c r="A764" t="n">
        <v>2024</v>
      </c>
      <c r="B764" t="n">
        <v>2</v>
      </c>
      <c r="C764" s="24" t="n">
        <v>445.28</v>
      </c>
      <c r="D764" t="n">
        <v>12</v>
      </c>
    </row>
    <row r="765">
      <c r="A765" t="n">
        <v>2024</v>
      </c>
      <c r="B765" t="n">
        <v>2</v>
      </c>
      <c r="C765" s="24" t="n">
        <v>3239.26</v>
      </c>
      <c r="D765" t="n">
        <v>13</v>
      </c>
    </row>
    <row r="766">
      <c r="A766" t="n">
        <v>2024</v>
      </c>
      <c r="B766" t="n">
        <v>2</v>
      </c>
      <c r="C766" s="24" t="n">
        <v>7087.72</v>
      </c>
      <c r="D766" t="n">
        <v>14</v>
      </c>
    </row>
    <row r="767">
      <c r="A767" t="n">
        <v>2024</v>
      </c>
      <c r="B767" t="n">
        <v>2</v>
      </c>
      <c r="C767" s="24" t="n">
        <v>3603.36</v>
      </c>
      <c r="D767" t="n">
        <v>15</v>
      </c>
    </row>
    <row r="768">
      <c r="A768" t="n">
        <v>2024</v>
      </c>
      <c r="B768" t="n">
        <v>2</v>
      </c>
      <c r="C768" s="24" t="n">
        <v>3712.71</v>
      </c>
      <c r="D768" t="n">
        <v>16</v>
      </c>
    </row>
    <row r="769">
      <c r="A769" t="n">
        <v>2024</v>
      </c>
      <c r="B769" t="n">
        <v>2</v>
      </c>
      <c r="C769" s="24" t="n">
        <v>1110.25</v>
      </c>
      <c r="D769" t="n">
        <v>17</v>
      </c>
    </row>
    <row r="770">
      <c r="A770" t="n">
        <v>2024</v>
      </c>
      <c r="B770" t="n">
        <v>2</v>
      </c>
      <c r="C770" s="24" t="n">
        <v>2491.01</v>
      </c>
      <c r="D770" t="n">
        <v>18</v>
      </c>
    </row>
    <row r="771">
      <c r="A771" t="n">
        <v>2024</v>
      </c>
      <c r="B771" t="n">
        <v>2</v>
      </c>
      <c r="C771" s="24" t="n">
        <v>1245.06</v>
      </c>
      <c r="D771" t="n">
        <v>19</v>
      </c>
    </row>
    <row r="772">
      <c r="A772" t="n">
        <v>2024</v>
      </c>
      <c r="B772" t="n">
        <v>2</v>
      </c>
      <c r="C772" s="24" t="n">
        <v>513.46</v>
      </c>
      <c r="D772" t="n">
        <v>20</v>
      </c>
    </row>
    <row r="773">
      <c r="A773" t="n">
        <v>2024</v>
      </c>
      <c r="B773" t="n">
        <v>2</v>
      </c>
      <c r="C773" s="24" t="n">
        <v>1778.63</v>
      </c>
      <c r="D773" t="n">
        <v>21</v>
      </c>
    </row>
    <row r="774">
      <c r="A774" t="n">
        <v>2024</v>
      </c>
      <c r="B774" t="n">
        <v>2</v>
      </c>
      <c r="C774" s="24" t="n">
        <v>3714.71</v>
      </c>
      <c r="D774" t="n">
        <v>22</v>
      </c>
    </row>
    <row r="775">
      <c r="A775" t="n">
        <v>2024</v>
      </c>
      <c r="B775" t="n">
        <v>2</v>
      </c>
      <c r="C775" s="24" t="n">
        <v>1271.57</v>
      </c>
      <c r="D775" t="n">
        <v>23</v>
      </c>
    </row>
    <row r="776">
      <c r="A776" t="n">
        <v>2024</v>
      </c>
      <c r="B776" t="n">
        <v>2</v>
      </c>
      <c r="C776" s="24" t="n">
        <v>274.62</v>
      </c>
      <c r="D776" t="n">
        <v>24</v>
      </c>
    </row>
    <row r="777">
      <c r="A777" t="n">
        <v>2024</v>
      </c>
      <c r="B777" t="n">
        <v>2</v>
      </c>
      <c r="C777" s="24" t="n">
        <v>2227.89</v>
      </c>
      <c r="D777" t="n">
        <v>25</v>
      </c>
    </row>
    <row r="778">
      <c r="A778" t="n">
        <v>2024</v>
      </c>
      <c r="B778" t="n">
        <v>2</v>
      </c>
      <c r="C778" s="24" t="n">
        <v>859.9299999999999</v>
      </c>
      <c r="D778" t="n">
        <v>26</v>
      </c>
    </row>
    <row r="779">
      <c r="A779" t="n">
        <v>2024</v>
      </c>
      <c r="B779" t="n">
        <v>2</v>
      </c>
      <c r="C779" s="24" t="n">
        <v>3765.32</v>
      </c>
      <c r="D779" t="n">
        <v>27</v>
      </c>
    </row>
    <row r="780">
      <c r="A780" t="n">
        <v>2024</v>
      </c>
      <c r="B780" t="n">
        <v>2</v>
      </c>
      <c r="C780" s="24" t="n">
        <v>2117.85</v>
      </c>
      <c r="D780" t="n">
        <v>28</v>
      </c>
    </row>
    <row r="781">
      <c r="A781" t="n">
        <v>2024</v>
      </c>
      <c r="B781" t="n">
        <v>2</v>
      </c>
      <c r="C781" s="24" t="n">
        <v>1960.05</v>
      </c>
      <c r="D781" t="n">
        <v>29</v>
      </c>
    </row>
    <row r="782">
      <c r="A782" t="n">
        <v>2024</v>
      </c>
      <c r="B782" t="n">
        <v>3</v>
      </c>
      <c r="C782" s="24" t="n">
        <v>800.8199999999999</v>
      </c>
      <c r="D782" t="n">
        <v>1</v>
      </c>
    </row>
    <row r="783">
      <c r="A783" t="n">
        <v>2024</v>
      </c>
      <c r="B783" t="n">
        <v>3</v>
      </c>
      <c r="C783" s="24" t="n">
        <v>2047.11</v>
      </c>
      <c r="D783" t="n">
        <v>2</v>
      </c>
    </row>
    <row r="784">
      <c r="A784" t="n">
        <v>2024</v>
      </c>
      <c r="B784" t="n">
        <v>3</v>
      </c>
      <c r="C784" s="24" t="n">
        <v>2830.99</v>
      </c>
      <c r="D784" t="n">
        <v>3</v>
      </c>
    </row>
    <row r="785">
      <c r="A785" t="n">
        <v>2024</v>
      </c>
      <c r="B785" t="n">
        <v>3</v>
      </c>
      <c r="C785" s="24" t="n">
        <v>5480.45</v>
      </c>
      <c r="D785" t="n">
        <v>4</v>
      </c>
    </row>
    <row r="786">
      <c r="A786" t="n">
        <v>2024</v>
      </c>
      <c r="B786" t="n">
        <v>3</v>
      </c>
      <c r="C786" s="24" t="n">
        <v>2026.22</v>
      </c>
      <c r="D786" t="n">
        <v>5</v>
      </c>
    </row>
    <row r="787">
      <c r="A787" t="n">
        <v>2024</v>
      </c>
      <c r="B787" t="n">
        <v>3</v>
      </c>
      <c r="C787" s="24" t="n">
        <v>4037.3</v>
      </c>
      <c r="D787" t="n">
        <v>6</v>
      </c>
    </row>
    <row r="788">
      <c r="A788" t="n">
        <v>2024</v>
      </c>
      <c r="B788" t="n">
        <v>3</v>
      </c>
      <c r="C788" s="24" t="n">
        <v>5628.42</v>
      </c>
      <c r="D788" t="n">
        <v>7</v>
      </c>
    </row>
    <row r="789">
      <c r="A789" t="n">
        <v>2024</v>
      </c>
      <c r="B789" t="n">
        <v>3</v>
      </c>
      <c r="C789" s="24" t="n">
        <v>1356.63</v>
      </c>
      <c r="D789" t="n">
        <v>8</v>
      </c>
    </row>
    <row r="790">
      <c r="A790" t="n">
        <v>2024</v>
      </c>
      <c r="B790" t="n">
        <v>3</v>
      </c>
      <c r="C790" s="24" t="n">
        <v>1690.02</v>
      </c>
      <c r="D790" t="n">
        <v>9</v>
      </c>
    </row>
    <row r="791">
      <c r="A791" t="n">
        <v>2024</v>
      </c>
      <c r="B791" t="n">
        <v>3</v>
      </c>
      <c r="C791" s="24" t="n">
        <v>3477.15</v>
      </c>
      <c r="D791" t="n">
        <v>10</v>
      </c>
    </row>
    <row r="792">
      <c r="A792" t="n">
        <v>2024</v>
      </c>
      <c r="B792" t="n">
        <v>3</v>
      </c>
      <c r="C792" s="24" t="n">
        <v>3718.75</v>
      </c>
      <c r="D792" t="n">
        <v>11</v>
      </c>
    </row>
    <row r="793">
      <c r="A793" t="n">
        <v>2024</v>
      </c>
      <c r="B793" t="n">
        <v>3</v>
      </c>
      <c r="C793" s="24" t="n">
        <v>4604.799999999999</v>
      </c>
      <c r="D793" t="n">
        <v>13</v>
      </c>
    </row>
    <row r="794">
      <c r="A794" t="n">
        <v>2024</v>
      </c>
      <c r="B794" t="n">
        <v>3</v>
      </c>
      <c r="C794" s="24" t="n">
        <v>4629.32</v>
      </c>
      <c r="D794" t="n">
        <v>14</v>
      </c>
    </row>
    <row r="795">
      <c r="A795" t="n">
        <v>2024</v>
      </c>
      <c r="B795" t="n">
        <v>3</v>
      </c>
      <c r="C795" s="24" t="n">
        <v>3492.67</v>
      </c>
      <c r="D795" t="n">
        <v>15</v>
      </c>
    </row>
    <row r="796">
      <c r="A796" t="n">
        <v>2024</v>
      </c>
      <c r="B796" t="n">
        <v>3</v>
      </c>
      <c r="C796" s="24" t="n">
        <v>2273.23</v>
      </c>
      <c r="D796" t="n">
        <v>16</v>
      </c>
    </row>
    <row r="797">
      <c r="A797" t="n">
        <v>2024</v>
      </c>
      <c r="B797" t="n">
        <v>3</v>
      </c>
      <c r="C797" s="24" t="n">
        <v>409.6</v>
      </c>
      <c r="D797" t="n">
        <v>17</v>
      </c>
    </row>
    <row r="798">
      <c r="A798" t="n">
        <v>2024</v>
      </c>
      <c r="B798" t="n">
        <v>3</v>
      </c>
      <c r="C798" s="24" t="n">
        <v>30</v>
      </c>
      <c r="D798" t="n">
        <v>18</v>
      </c>
    </row>
    <row r="799">
      <c r="A799" t="n">
        <v>2024</v>
      </c>
      <c r="B799" t="n">
        <v>3</v>
      </c>
      <c r="C799" s="24" t="n">
        <v>4262.05</v>
      </c>
      <c r="D799" t="n">
        <v>19</v>
      </c>
    </row>
    <row r="800">
      <c r="A800" t="n">
        <v>2024</v>
      </c>
      <c r="B800" t="n">
        <v>3</v>
      </c>
      <c r="C800" s="24" t="n">
        <v>4207.6</v>
      </c>
      <c r="D800" t="n">
        <v>20</v>
      </c>
    </row>
    <row r="801">
      <c r="A801" t="n">
        <v>2024</v>
      </c>
      <c r="B801" t="n">
        <v>3</v>
      </c>
      <c r="C801" s="24" t="n">
        <v>1431.76</v>
      </c>
      <c r="D801" t="n">
        <v>21</v>
      </c>
    </row>
    <row r="802">
      <c r="A802" t="n">
        <v>2024</v>
      </c>
      <c r="B802" t="n">
        <v>3</v>
      </c>
      <c r="C802" s="24" t="n">
        <v>206.8</v>
      </c>
      <c r="D802" t="n">
        <v>22</v>
      </c>
    </row>
    <row r="803">
      <c r="A803" t="n">
        <v>2024</v>
      </c>
      <c r="B803" t="n">
        <v>3</v>
      </c>
      <c r="C803" s="24" t="n">
        <v>3312.36</v>
      </c>
      <c r="D803" t="n">
        <v>23</v>
      </c>
    </row>
    <row r="804">
      <c r="A804" t="n">
        <v>2024</v>
      </c>
      <c r="B804" t="n">
        <v>3</v>
      </c>
      <c r="C804" s="24" t="n">
        <v>3145.42</v>
      </c>
      <c r="D804" t="n">
        <v>24</v>
      </c>
    </row>
    <row r="805">
      <c r="A805" t="n">
        <v>2024</v>
      </c>
      <c r="B805" t="n">
        <v>3</v>
      </c>
      <c r="C805" s="24" t="n">
        <v>3336.45</v>
      </c>
      <c r="D805" t="n">
        <v>25</v>
      </c>
    </row>
    <row r="806">
      <c r="A806" t="n">
        <v>2024</v>
      </c>
      <c r="B806" t="n">
        <v>3</v>
      </c>
      <c r="C806" s="24" t="n">
        <v>654.55</v>
      </c>
      <c r="D806" t="n">
        <v>26</v>
      </c>
    </row>
    <row r="807">
      <c r="A807" t="n">
        <v>2024</v>
      </c>
      <c r="B807" t="n">
        <v>3</v>
      </c>
      <c r="C807" s="24" t="n">
        <v>2009.57</v>
      </c>
      <c r="D807" t="n">
        <v>27</v>
      </c>
    </row>
    <row r="808">
      <c r="A808" t="n">
        <v>2024</v>
      </c>
      <c r="B808" t="n">
        <v>3</v>
      </c>
      <c r="C808" s="24" t="n">
        <v>1294.28</v>
      </c>
      <c r="D808" t="n">
        <v>28</v>
      </c>
    </row>
    <row r="809">
      <c r="A809" t="n">
        <v>2024</v>
      </c>
      <c r="B809" t="n">
        <v>3</v>
      </c>
      <c r="C809" s="24" t="n">
        <v>995.74</v>
      </c>
      <c r="D809" t="n">
        <v>29</v>
      </c>
    </row>
    <row r="810">
      <c r="A810" t="n">
        <v>2024</v>
      </c>
      <c r="B810" t="n">
        <v>3</v>
      </c>
      <c r="C810" s="24" t="n">
        <v>1103.2</v>
      </c>
      <c r="D810" t="n">
        <v>31</v>
      </c>
    </row>
    <row r="811">
      <c r="A811" t="n">
        <v>2024</v>
      </c>
      <c r="B811" t="n">
        <v>4</v>
      </c>
      <c r="C811" s="24" t="n">
        <v>1160.94</v>
      </c>
      <c r="D811" t="n">
        <v>1</v>
      </c>
    </row>
    <row r="812">
      <c r="A812" t="n">
        <v>2024</v>
      </c>
      <c r="B812" t="n">
        <v>4</v>
      </c>
      <c r="C812" s="24" t="n">
        <v>4622.13</v>
      </c>
      <c r="D812" t="n">
        <v>2</v>
      </c>
    </row>
    <row r="813">
      <c r="A813" t="n">
        <v>2024</v>
      </c>
      <c r="B813" t="n">
        <v>4</v>
      </c>
      <c r="C813" s="24" t="n">
        <v>587.6</v>
      </c>
      <c r="D813" t="n">
        <v>4</v>
      </c>
    </row>
    <row r="814">
      <c r="A814" t="n">
        <v>2024</v>
      </c>
      <c r="B814" t="n">
        <v>4</v>
      </c>
      <c r="C814" s="24" t="n">
        <v>4200.38</v>
      </c>
      <c r="D814" t="n">
        <v>5</v>
      </c>
    </row>
    <row r="815">
      <c r="A815" t="n">
        <v>2024</v>
      </c>
      <c r="B815" t="n">
        <v>4</v>
      </c>
      <c r="C815" s="24" t="n">
        <v>1690.11</v>
      </c>
      <c r="D815" t="n">
        <v>6</v>
      </c>
    </row>
    <row r="816">
      <c r="A816" t="n">
        <v>2024</v>
      </c>
      <c r="B816" t="n">
        <v>4</v>
      </c>
      <c r="C816" s="24" t="n">
        <v>4502.46</v>
      </c>
      <c r="D816" t="n">
        <v>7</v>
      </c>
    </row>
    <row r="817">
      <c r="A817" t="n">
        <v>2024</v>
      </c>
      <c r="B817" t="n">
        <v>4</v>
      </c>
      <c r="C817" s="24" t="n">
        <v>2356.62</v>
      </c>
      <c r="D817" t="n">
        <v>8</v>
      </c>
    </row>
    <row r="818">
      <c r="A818" t="n">
        <v>2024</v>
      </c>
      <c r="B818" t="n">
        <v>4</v>
      </c>
      <c r="C818" s="24" t="n">
        <v>8661.809999999999</v>
      </c>
      <c r="D818" t="n">
        <v>9</v>
      </c>
    </row>
    <row r="819">
      <c r="A819" t="n">
        <v>2024</v>
      </c>
      <c r="B819" t="n">
        <v>4</v>
      </c>
      <c r="C819" s="24" t="n">
        <v>1272.06</v>
      </c>
      <c r="D819" t="n">
        <v>10</v>
      </c>
    </row>
    <row r="820">
      <c r="A820" t="n">
        <v>2024</v>
      </c>
      <c r="B820" t="n">
        <v>4</v>
      </c>
      <c r="C820" s="24" t="n">
        <v>470.56</v>
      </c>
      <c r="D820" t="n">
        <v>11</v>
      </c>
    </row>
    <row r="821">
      <c r="A821" t="n">
        <v>2024</v>
      </c>
      <c r="B821" t="n">
        <v>4</v>
      </c>
      <c r="C821" s="24" t="n">
        <v>949.24</v>
      </c>
      <c r="D821" t="n">
        <v>12</v>
      </c>
    </row>
    <row r="822">
      <c r="A822" t="n">
        <v>2024</v>
      </c>
      <c r="B822" t="n">
        <v>4</v>
      </c>
      <c r="C822" s="24" t="n">
        <v>2230.6</v>
      </c>
      <c r="D822" t="n">
        <v>13</v>
      </c>
    </row>
    <row r="823">
      <c r="A823" t="n">
        <v>2024</v>
      </c>
      <c r="B823" t="n">
        <v>4</v>
      </c>
      <c r="C823" s="24" t="n">
        <v>2827.44</v>
      </c>
      <c r="D823" t="n">
        <v>14</v>
      </c>
    </row>
    <row r="824">
      <c r="A824" t="n">
        <v>2024</v>
      </c>
      <c r="B824" t="n">
        <v>4</v>
      </c>
      <c r="C824" s="24" t="n">
        <v>1070.49</v>
      </c>
      <c r="D824" t="n">
        <v>15</v>
      </c>
    </row>
    <row r="825">
      <c r="A825" t="n">
        <v>2024</v>
      </c>
      <c r="B825" t="n">
        <v>4</v>
      </c>
      <c r="C825" s="24" t="n">
        <v>1982.65</v>
      </c>
      <c r="D825" t="n">
        <v>16</v>
      </c>
    </row>
    <row r="826">
      <c r="A826" t="n">
        <v>2024</v>
      </c>
      <c r="B826" t="n">
        <v>4</v>
      </c>
      <c r="C826" s="24" t="n">
        <v>6365.82</v>
      </c>
      <c r="D826" t="n">
        <v>17</v>
      </c>
    </row>
    <row r="827">
      <c r="A827" t="n">
        <v>2024</v>
      </c>
      <c r="B827" t="n">
        <v>4</v>
      </c>
      <c r="C827" s="24" t="n">
        <v>7692.1</v>
      </c>
      <c r="D827" t="n">
        <v>18</v>
      </c>
    </row>
    <row r="828">
      <c r="A828" t="n">
        <v>2024</v>
      </c>
      <c r="B828" t="n">
        <v>4</v>
      </c>
      <c r="C828" s="24" t="n">
        <v>6021.360000000001</v>
      </c>
      <c r="D828" t="n">
        <v>19</v>
      </c>
    </row>
    <row r="829">
      <c r="A829" t="n">
        <v>2024</v>
      </c>
      <c r="B829" t="n">
        <v>4</v>
      </c>
      <c r="C829" s="24" t="n">
        <v>1057.3</v>
      </c>
      <c r="D829" t="n">
        <v>20</v>
      </c>
    </row>
    <row r="830">
      <c r="A830" t="n">
        <v>2024</v>
      </c>
      <c r="B830" t="n">
        <v>4</v>
      </c>
      <c r="C830" s="24" t="n">
        <v>2314.84</v>
      </c>
      <c r="D830" t="n">
        <v>21</v>
      </c>
    </row>
    <row r="831">
      <c r="A831" t="n">
        <v>2024</v>
      </c>
      <c r="B831" t="n">
        <v>4</v>
      </c>
      <c r="C831" s="24" t="n">
        <v>7333.49</v>
      </c>
      <c r="D831" t="n">
        <v>22</v>
      </c>
    </row>
    <row r="832">
      <c r="A832" t="n">
        <v>2024</v>
      </c>
      <c r="B832" t="n">
        <v>4</v>
      </c>
      <c r="C832" s="24" t="n">
        <v>3355.6</v>
      </c>
      <c r="D832" t="n">
        <v>23</v>
      </c>
    </row>
    <row r="833">
      <c r="A833" t="n">
        <v>2024</v>
      </c>
      <c r="B833" t="n">
        <v>4</v>
      </c>
      <c r="C833" s="24" t="n">
        <v>958.62</v>
      </c>
      <c r="D833" t="n">
        <v>24</v>
      </c>
    </row>
    <row r="834">
      <c r="A834" t="n">
        <v>2024</v>
      </c>
      <c r="B834" t="n">
        <v>4</v>
      </c>
      <c r="C834" s="24" t="n">
        <v>1311.96</v>
      </c>
      <c r="D834" t="n">
        <v>25</v>
      </c>
    </row>
    <row r="835">
      <c r="A835" t="n">
        <v>2024</v>
      </c>
      <c r="B835" t="n">
        <v>4</v>
      </c>
      <c r="C835" s="24" t="n">
        <v>1107.13</v>
      </c>
      <c r="D835" t="n">
        <v>26</v>
      </c>
    </row>
    <row r="836">
      <c r="A836" t="n">
        <v>2024</v>
      </c>
      <c r="B836" t="n">
        <v>4</v>
      </c>
      <c r="C836" s="24" t="n">
        <v>4780.23</v>
      </c>
      <c r="D836" t="n">
        <v>27</v>
      </c>
    </row>
    <row r="837">
      <c r="A837" t="n">
        <v>2024</v>
      </c>
      <c r="B837" t="n">
        <v>4</v>
      </c>
      <c r="C837" s="24" t="n">
        <v>4543.48</v>
      </c>
      <c r="D837" t="n">
        <v>28</v>
      </c>
    </row>
    <row r="838">
      <c r="A838" t="n">
        <v>2024</v>
      </c>
      <c r="B838" t="n">
        <v>4</v>
      </c>
      <c r="C838" s="24" t="n">
        <v>1043.14</v>
      </c>
      <c r="D838" t="n">
        <v>29</v>
      </c>
    </row>
    <row r="839">
      <c r="A839" t="n">
        <v>2024</v>
      </c>
      <c r="B839" t="n">
        <v>4</v>
      </c>
      <c r="C839" s="24" t="n">
        <v>3690.24</v>
      </c>
      <c r="D839" t="n">
        <v>30</v>
      </c>
    </row>
    <row r="840">
      <c r="A840" t="n">
        <v>2024</v>
      </c>
      <c r="B840" t="n">
        <v>5</v>
      </c>
      <c r="C840" s="24" t="n">
        <v>129.5</v>
      </c>
      <c r="D840" t="n">
        <v>1</v>
      </c>
    </row>
    <row r="841">
      <c r="A841" t="n">
        <v>2024</v>
      </c>
      <c r="B841" t="n">
        <v>5</v>
      </c>
      <c r="C841" s="24" t="n">
        <v>3784.61</v>
      </c>
      <c r="D841" t="n">
        <v>2</v>
      </c>
    </row>
    <row r="842">
      <c r="A842" t="n">
        <v>2024</v>
      </c>
      <c r="B842" t="n">
        <v>5</v>
      </c>
      <c r="C842" s="24" t="n">
        <v>3339.68</v>
      </c>
      <c r="D842" t="n">
        <v>3</v>
      </c>
    </row>
    <row r="843">
      <c r="A843" t="n">
        <v>2024</v>
      </c>
      <c r="B843" t="n">
        <v>5</v>
      </c>
      <c r="C843" s="24" t="n">
        <v>5086.3</v>
      </c>
      <c r="D843" t="n">
        <v>4</v>
      </c>
    </row>
    <row r="844">
      <c r="A844" t="n">
        <v>2024</v>
      </c>
      <c r="B844" t="n">
        <v>5</v>
      </c>
      <c r="C844" s="24" t="n">
        <v>712.21</v>
      </c>
      <c r="D844" t="n">
        <v>5</v>
      </c>
    </row>
    <row r="845">
      <c r="A845" t="n">
        <v>2024</v>
      </c>
      <c r="B845" t="n">
        <v>5</v>
      </c>
      <c r="C845" s="24" t="n">
        <v>4935.72</v>
      </c>
      <c r="D845" t="n">
        <v>6</v>
      </c>
    </row>
    <row r="846">
      <c r="A846" t="n">
        <v>2024</v>
      </c>
      <c r="B846" t="n">
        <v>5</v>
      </c>
      <c r="C846" s="24" t="n">
        <v>7669.71</v>
      </c>
      <c r="D846" t="n">
        <v>7</v>
      </c>
    </row>
    <row r="847">
      <c r="A847" t="n">
        <v>2024</v>
      </c>
      <c r="B847" t="n">
        <v>5</v>
      </c>
      <c r="C847" s="24" t="n">
        <v>380.97</v>
      </c>
      <c r="D847" t="n">
        <v>8</v>
      </c>
    </row>
    <row r="848">
      <c r="A848" t="n">
        <v>2024</v>
      </c>
      <c r="B848" t="n">
        <v>5</v>
      </c>
      <c r="C848" s="24" t="n">
        <v>7681.93</v>
      </c>
      <c r="D848" t="n">
        <v>9</v>
      </c>
    </row>
    <row r="849">
      <c r="A849" t="n">
        <v>2024</v>
      </c>
      <c r="B849" t="n">
        <v>5</v>
      </c>
      <c r="C849" s="24" t="n">
        <v>2905.3</v>
      </c>
      <c r="D849" t="n">
        <v>10</v>
      </c>
    </row>
    <row r="850">
      <c r="A850" t="n">
        <v>2024</v>
      </c>
      <c r="B850" t="n">
        <v>5</v>
      </c>
      <c r="C850" s="24" t="n">
        <v>3407.77</v>
      </c>
      <c r="D850" t="n">
        <v>11</v>
      </c>
    </row>
    <row r="851">
      <c r="A851" t="n">
        <v>2024</v>
      </c>
      <c r="B851" t="n">
        <v>5</v>
      </c>
      <c r="C851" s="24" t="n">
        <v>4017.7</v>
      </c>
      <c r="D851" t="n">
        <v>12</v>
      </c>
    </row>
    <row r="852">
      <c r="A852" t="n">
        <v>2024</v>
      </c>
      <c r="B852" t="n">
        <v>5</v>
      </c>
      <c r="C852" s="24" t="n">
        <v>2791.87</v>
      </c>
      <c r="D852" t="n">
        <v>13</v>
      </c>
    </row>
    <row r="853">
      <c r="A853" t="n">
        <v>2024</v>
      </c>
      <c r="B853" t="n">
        <v>5</v>
      </c>
      <c r="C853" s="24" t="n">
        <v>10933.58</v>
      </c>
      <c r="D853" t="n">
        <v>14</v>
      </c>
    </row>
    <row r="854">
      <c r="A854" t="n">
        <v>2024</v>
      </c>
      <c r="B854" t="n">
        <v>5</v>
      </c>
      <c r="C854" s="24" t="n">
        <v>6120.2</v>
      </c>
      <c r="D854" t="n">
        <v>15</v>
      </c>
    </row>
    <row r="855">
      <c r="A855" t="n">
        <v>2024</v>
      </c>
      <c r="B855" t="n">
        <v>5</v>
      </c>
      <c r="C855" s="24" t="n">
        <v>5813.01</v>
      </c>
      <c r="D855" t="n">
        <v>16</v>
      </c>
    </row>
    <row r="856">
      <c r="A856" t="n">
        <v>2024</v>
      </c>
      <c r="B856" t="n">
        <v>5</v>
      </c>
      <c r="C856" s="24" t="n">
        <v>978.66</v>
      </c>
      <c r="D856" t="n">
        <v>17</v>
      </c>
    </row>
    <row r="857">
      <c r="A857" t="n">
        <v>2024</v>
      </c>
      <c r="B857" t="n">
        <v>5</v>
      </c>
      <c r="C857" s="24" t="n">
        <v>1671.8</v>
      </c>
      <c r="D857" t="n">
        <v>18</v>
      </c>
    </row>
    <row r="858">
      <c r="A858" t="n">
        <v>2024</v>
      </c>
      <c r="B858" t="n">
        <v>5</v>
      </c>
      <c r="C858" s="24" t="n">
        <v>5610.940000000001</v>
      </c>
      <c r="D858" t="n">
        <v>19</v>
      </c>
    </row>
    <row r="859">
      <c r="A859" t="n">
        <v>2024</v>
      </c>
      <c r="B859" t="n">
        <v>5</v>
      </c>
      <c r="C859" s="24" t="n">
        <v>2593.83</v>
      </c>
      <c r="D859" t="n">
        <v>21</v>
      </c>
    </row>
    <row r="860">
      <c r="A860" t="n">
        <v>2024</v>
      </c>
      <c r="B860" t="n">
        <v>5</v>
      </c>
      <c r="C860" s="24" t="n">
        <v>3416.71</v>
      </c>
      <c r="D860" t="n">
        <v>22</v>
      </c>
    </row>
    <row r="861">
      <c r="A861" t="n">
        <v>2024</v>
      </c>
      <c r="B861" t="n">
        <v>5</v>
      </c>
      <c r="C861" s="24" t="n">
        <v>301.02</v>
      </c>
      <c r="D861" t="n">
        <v>23</v>
      </c>
    </row>
    <row r="862">
      <c r="A862" t="n">
        <v>2024</v>
      </c>
      <c r="B862" t="n">
        <v>5</v>
      </c>
      <c r="C862" s="24" t="n">
        <v>5725.09</v>
      </c>
      <c r="D862" t="n">
        <v>24</v>
      </c>
    </row>
    <row r="863">
      <c r="A863" t="n">
        <v>2024</v>
      </c>
      <c r="B863" t="n">
        <v>5</v>
      </c>
      <c r="C863" s="24" t="n">
        <v>5959.4</v>
      </c>
      <c r="D863" t="n">
        <v>25</v>
      </c>
    </row>
    <row r="864">
      <c r="A864" t="n">
        <v>2024</v>
      </c>
      <c r="B864" t="n">
        <v>5</v>
      </c>
      <c r="C864" s="24" t="n">
        <v>1272.97</v>
      </c>
      <c r="D864" t="n">
        <v>26</v>
      </c>
    </row>
    <row r="865">
      <c r="A865" t="n">
        <v>2024</v>
      </c>
      <c r="B865" t="n">
        <v>5</v>
      </c>
      <c r="C865" s="24" t="n">
        <v>1000.23</v>
      </c>
      <c r="D865" t="n">
        <v>27</v>
      </c>
    </row>
    <row r="866">
      <c r="A866" t="n">
        <v>2024</v>
      </c>
      <c r="B866" t="n">
        <v>5</v>
      </c>
      <c r="C866" s="24" t="n">
        <v>1516.1</v>
      </c>
      <c r="D866" t="n">
        <v>28</v>
      </c>
    </row>
    <row r="867">
      <c r="A867" t="n">
        <v>2024</v>
      </c>
      <c r="B867" t="n">
        <v>5</v>
      </c>
      <c r="C867" s="24" t="n">
        <v>5425.96</v>
      </c>
      <c r="D867" t="n">
        <v>29</v>
      </c>
    </row>
    <row r="868">
      <c r="A868" t="n">
        <v>2024</v>
      </c>
      <c r="B868" t="n">
        <v>5</v>
      </c>
      <c r="C868" s="24" t="n">
        <v>5138.639999999999</v>
      </c>
      <c r="D868" t="n">
        <v>30</v>
      </c>
    </row>
    <row r="869">
      <c r="A869" t="n">
        <v>2024</v>
      </c>
      <c r="B869" t="n">
        <v>5</v>
      </c>
      <c r="C869" s="24" t="n">
        <v>3728.86</v>
      </c>
      <c r="D869" t="n">
        <v>31</v>
      </c>
    </row>
    <row r="870">
      <c r="A870" t="n">
        <v>2024</v>
      </c>
      <c r="B870" t="n">
        <v>6</v>
      </c>
      <c r="C870" s="24" t="n">
        <v>9785.380000000001</v>
      </c>
      <c r="D870" t="n">
        <v>1</v>
      </c>
    </row>
    <row r="871">
      <c r="A871" t="n">
        <v>2024</v>
      </c>
      <c r="B871" t="n">
        <v>6</v>
      </c>
      <c r="C871" s="24" t="n">
        <v>4014.23</v>
      </c>
      <c r="D871" t="n">
        <v>2</v>
      </c>
    </row>
    <row r="872">
      <c r="A872" t="n">
        <v>2024</v>
      </c>
      <c r="B872" t="n">
        <v>6</v>
      </c>
      <c r="C872" s="24" t="n">
        <v>5521.34</v>
      </c>
      <c r="D872" t="n">
        <v>3</v>
      </c>
    </row>
    <row r="873">
      <c r="A873" t="n">
        <v>2024</v>
      </c>
      <c r="B873" t="n">
        <v>6</v>
      </c>
      <c r="C873" s="24" t="n">
        <v>1295.85</v>
      </c>
      <c r="D873" t="n">
        <v>4</v>
      </c>
    </row>
    <row r="874">
      <c r="A874" t="n">
        <v>2024</v>
      </c>
      <c r="B874" t="n">
        <v>6</v>
      </c>
      <c r="C874" s="24" t="n">
        <v>926.47</v>
      </c>
      <c r="D874" t="n">
        <v>5</v>
      </c>
    </row>
    <row r="875">
      <c r="A875" t="n">
        <v>2024</v>
      </c>
      <c r="B875" t="n">
        <v>6</v>
      </c>
      <c r="C875" s="24" t="n">
        <v>4142.63</v>
      </c>
      <c r="D875" t="n">
        <v>6</v>
      </c>
    </row>
    <row r="876">
      <c r="A876" t="n">
        <v>2024</v>
      </c>
      <c r="B876" t="n">
        <v>6</v>
      </c>
      <c r="C876" s="24" t="n">
        <v>1883.85</v>
      </c>
      <c r="D876" t="n">
        <v>7</v>
      </c>
    </row>
    <row r="877">
      <c r="A877" t="n">
        <v>2024</v>
      </c>
      <c r="B877" t="n">
        <v>6</v>
      </c>
      <c r="C877" s="24" t="n">
        <v>1099.14</v>
      </c>
      <c r="D877" t="n">
        <v>8</v>
      </c>
    </row>
    <row r="878">
      <c r="A878" t="n">
        <v>2024</v>
      </c>
      <c r="B878" t="n">
        <v>6</v>
      </c>
      <c r="C878" s="24" t="n">
        <v>2646.8</v>
      </c>
      <c r="D878" t="n">
        <v>9</v>
      </c>
    </row>
    <row r="879">
      <c r="A879" t="n">
        <v>2024</v>
      </c>
      <c r="B879" t="n">
        <v>6</v>
      </c>
      <c r="C879" s="24" t="n">
        <v>4106.75</v>
      </c>
      <c r="D879" t="n">
        <v>10</v>
      </c>
    </row>
    <row r="880">
      <c r="A880" t="n">
        <v>2024</v>
      </c>
      <c r="B880" t="n">
        <v>6</v>
      </c>
      <c r="C880" s="24" t="n">
        <v>8078.130000000001</v>
      </c>
      <c r="D880" t="n">
        <v>11</v>
      </c>
    </row>
    <row r="881">
      <c r="A881" t="n">
        <v>2024</v>
      </c>
      <c r="B881" t="n">
        <v>6</v>
      </c>
      <c r="C881" s="24" t="n">
        <v>3032.35</v>
      </c>
      <c r="D881" t="n">
        <v>12</v>
      </c>
    </row>
    <row r="882">
      <c r="A882" t="n">
        <v>2024</v>
      </c>
      <c r="B882" t="n">
        <v>6</v>
      </c>
      <c r="C882" s="24" t="n">
        <v>4841.34</v>
      </c>
      <c r="D882" t="n">
        <v>13</v>
      </c>
    </row>
    <row r="883">
      <c r="A883" t="n">
        <v>2024</v>
      </c>
      <c r="B883" t="n">
        <v>6</v>
      </c>
      <c r="C883" s="24" t="n">
        <v>13012.89</v>
      </c>
      <c r="D883" t="n">
        <v>14</v>
      </c>
    </row>
    <row r="884">
      <c r="A884" t="n">
        <v>2024</v>
      </c>
      <c r="B884" t="n">
        <v>6</v>
      </c>
      <c r="C884" s="24" t="n">
        <v>2876.65</v>
      </c>
      <c r="D884" t="n">
        <v>15</v>
      </c>
    </row>
    <row r="885">
      <c r="A885" t="n">
        <v>2024</v>
      </c>
      <c r="B885" t="n">
        <v>6</v>
      </c>
      <c r="C885" s="24" t="n">
        <v>3782.06</v>
      </c>
      <c r="D885" t="n">
        <v>16</v>
      </c>
    </row>
    <row r="886">
      <c r="A886" t="n">
        <v>2024</v>
      </c>
      <c r="B886" t="n">
        <v>6</v>
      </c>
      <c r="C886" s="24" t="n">
        <v>3127.74</v>
      </c>
      <c r="D886" t="n">
        <v>17</v>
      </c>
    </row>
    <row r="887">
      <c r="A887" t="n">
        <v>2024</v>
      </c>
      <c r="B887" t="n">
        <v>6</v>
      </c>
      <c r="C887" s="24" t="n">
        <v>3035.33</v>
      </c>
      <c r="D887" t="n">
        <v>18</v>
      </c>
    </row>
    <row r="888">
      <c r="A888" t="n">
        <v>2024</v>
      </c>
      <c r="B888" t="n">
        <v>6</v>
      </c>
      <c r="C888" s="24" t="n">
        <v>1285.28</v>
      </c>
      <c r="D888" t="n">
        <v>19</v>
      </c>
    </row>
    <row r="889">
      <c r="A889" t="n">
        <v>2024</v>
      </c>
      <c r="B889" t="n">
        <v>6</v>
      </c>
      <c r="C889" s="24" t="n">
        <v>1701.4</v>
      </c>
      <c r="D889" t="n">
        <v>20</v>
      </c>
    </row>
    <row r="890">
      <c r="A890" t="n">
        <v>2024</v>
      </c>
      <c r="B890" t="n">
        <v>6</v>
      </c>
      <c r="C890" s="24" t="n">
        <v>1928.22</v>
      </c>
      <c r="D890" t="n">
        <v>21</v>
      </c>
    </row>
    <row r="891">
      <c r="A891" t="n">
        <v>2024</v>
      </c>
      <c r="B891" t="n">
        <v>6</v>
      </c>
      <c r="C891" s="24" t="n">
        <v>2278.05</v>
      </c>
      <c r="D891" t="n">
        <v>22</v>
      </c>
    </row>
    <row r="892">
      <c r="A892" t="n">
        <v>2024</v>
      </c>
      <c r="B892" t="n">
        <v>6</v>
      </c>
      <c r="C892" s="24" t="n">
        <v>4438.99</v>
      </c>
      <c r="D892" t="n">
        <v>23</v>
      </c>
    </row>
    <row r="893">
      <c r="A893" t="n">
        <v>2024</v>
      </c>
      <c r="B893" t="n">
        <v>6</v>
      </c>
      <c r="C893" s="24" t="n">
        <v>1357.67</v>
      </c>
      <c r="D893" t="n">
        <v>24</v>
      </c>
    </row>
    <row r="894">
      <c r="A894" t="n">
        <v>2024</v>
      </c>
      <c r="B894" t="n">
        <v>6</v>
      </c>
      <c r="C894" s="24" t="n">
        <v>6219.07</v>
      </c>
      <c r="D894" t="n">
        <v>25</v>
      </c>
    </row>
    <row r="895">
      <c r="A895" t="n">
        <v>2024</v>
      </c>
      <c r="B895" t="n">
        <v>6</v>
      </c>
      <c r="C895" s="24" t="n">
        <v>583.5699999999999</v>
      </c>
      <c r="D895" t="n">
        <v>26</v>
      </c>
    </row>
    <row r="896">
      <c r="A896" t="n">
        <v>2024</v>
      </c>
      <c r="B896" t="n">
        <v>6</v>
      </c>
      <c r="C896" s="24" t="n">
        <v>1499.85</v>
      </c>
      <c r="D896" t="n">
        <v>27</v>
      </c>
    </row>
    <row r="897">
      <c r="A897" t="n">
        <v>2024</v>
      </c>
      <c r="B897" t="n">
        <v>6</v>
      </c>
      <c r="C897" s="24" t="n">
        <v>1755.2</v>
      </c>
      <c r="D897" t="n">
        <v>28</v>
      </c>
    </row>
    <row r="898">
      <c r="A898" t="n">
        <v>2024</v>
      </c>
      <c r="B898" t="n">
        <v>6</v>
      </c>
      <c r="C898" s="24" t="n">
        <v>4130.78</v>
      </c>
      <c r="D898" t="n">
        <v>29</v>
      </c>
    </row>
    <row r="899">
      <c r="A899" t="n">
        <v>2024</v>
      </c>
      <c r="B899" t="n">
        <v>6</v>
      </c>
      <c r="C899" s="24" t="n">
        <v>2090.25</v>
      </c>
      <c r="D899" t="n">
        <v>30</v>
      </c>
    </row>
    <row r="900">
      <c r="A900" t="n">
        <v>2024</v>
      </c>
      <c r="B900" t="n">
        <v>7</v>
      </c>
      <c r="C900" s="24" t="n">
        <v>313.86</v>
      </c>
      <c r="D900" t="n">
        <v>1</v>
      </c>
    </row>
    <row r="901">
      <c r="A901" t="n">
        <v>2024</v>
      </c>
      <c r="B901" t="n">
        <v>7</v>
      </c>
      <c r="C901" s="24" t="n">
        <v>2989.7</v>
      </c>
      <c r="D901" t="n">
        <v>2</v>
      </c>
    </row>
    <row r="902">
      <c r="A902" t="n">
        <v>2024</v>
      </c>
      <c r="B902" t="n">
        <v>7</v>
      </c>
      <c r="C902" s="24" t="n">
        <v>8138.89</v>
      </c>
      <c r="D902" t="n">
        <v>3</v>
      </c>
    </row>
    <row r="903">
      <c r="A903" t="n">
        <v>2024</v>
      </c>
      <c r="B903" t="n">
        <v>7</v>
      </c>
      <c r="C903" s="24" t="n">
        <v>2413.45</v>
      </c>
      <c r="D903" t="n">
        <v>4</v>
      </c>
    </row>
    <row r="904">
      <c r="A904" t="n">
        <v>2024</v>
      </c>
      <c r="B904" t="n">
        <v>7</v>
      </c>
      <c r="C904" s="24" t="n">
        <v>2528.29</v>
      </c>
      <c r="D904" t="n">
        <v>5</v>
      </c>
    </row>
    <row r="905">
      <c r="A905" t="n">
        <v>2024</v>
      </c>
      <c r="B905" t="n">
        <v>7</v>
      </c>
      <c r="C905" s="24" t="n">
        <v>5033.8</v>
      </c>
      <c r="D905" t="n">
        <v>6</v>
      </c>
    </row>
    <row r="906">
      <c r="A906" t="n">
        <v>2024</v>
      </c>
      <c r="B906" t="n">
        <v>7</v>
      </c>
      <c r="C906" s="24" t="n">
        <v>1594.6</v>
      </c>
      <c r="D906" t="n">
        <v>7</v>
      </c>
    </row>
    <row r="907">
      <c r="A907" t="n">
        <v>2024</v>
      </c>
      <c r="B907" t="n">
        <v>7</v>
      </c>
      <c r="C907" s="24" t="n">
        <v>724.8900000000001</v>
      </c>
      <c r="D907" t="n">
        <v>8</v>
      </c>
    </row>
    <row r="908">
      <c r="A908" t="n">
        <v>2024</v>
      </c>
      <c r="B908" t="n">
        <v>7</v>
      </c>
      <c r="C908" s="24" t="n">
        <v>935.85</v>
      </c>
      <c r="D908" t="n">
        <v>9</v>
      </c>
    </row>
    <row r="909">
      <c r="A909" t="n">
        <v>2024</v>
      </c>
      <c r="B909" t="n">
        <v>7</v>
      </c>
      <c r="C909" s="24" t="n">
        <v>2385.2</v>
      </c>
      <c r="D909" t="n">
        <v>10</v>
      </c>
    </row>
    <row r="910">
      <c r="A910" t="n">
        <v>2024</v>
      </c>
      <c r="B910" t="n">
        <v>7</v>
      </c>
      <c r="C910" s="24" t="n">
        <v>2516.73</v>
      </c>
      <c r="D910" t="n">
        <v>11</v>
      </c>
    </row>
    <row r="911">
      <c r="A911" t="n">
        <v>2024</v>
      </c>
      <c r="B911" t="n">
        <v>7</v>
      </c>
      <c r="C911" s="24" t="n">
        <v>3863.14</v>
      </c>
      <c r="D911" t="n">
        <v>12</v>
      </c>
    </row>
    <row r="912">
      <c r="A912" t="n">
        <v>2024</v>
      </c>
      <c r="B912" t="n">
        <v>7</v>
      </c>
      <c r="C912" s="24" t="n">
        <v>628.58</v>
      </c>
      <c r="D912" t="n">
        <v>13</v>
      </c>
    </row>
    <row r="913">
      <c r="A913" t="n">
        <v>2024</v>
      </c>
      <c r="B913" t="n">
        <v>7</v>
      </c>
      <c r="C913" s="24" t="n">
        <v>4994.3</v>
      </c>
      <c r="D913" t="n">
        <v>14</v>
      </c>
    </row>
    <row r="914">
      <c r="A914" t="n">
        <v>2024</v>
      </c>
      <c r="B914" t="n">
        <v>7</v>
      </c>
      <c r="C914" s="24" t="n">
        <v>969.08</v>
      </c>
      <c r="D914" t="n">
        <v>15</v>
      </c>
    </row>
    <row r="915">
      <c r="A915" t="n">
        <v>2024</v>
      </c>
      <c r="B915" t="n">
        <v>7</v>
      </c>
      <c r="C915" s="24" t="n">
        <v>1438.81</v>
      </c>
      <c r="D915" t="n">
        <v>16</v>
      </c>
    </row>
    <row r="916">
      <c r="A916" t="n">
        <v>2024</v>
      </c>
      <c r="B916" t="n">
        <v>7</v>
      </c>
      <c r="C916" s="24" t="n">
        <v>5044.79</v>
      </c>
      <c r="D916" t="n">
        <v>17</v>
      </c>
    </row>
    <row r="917">
      <c r="A917" t="n">
        <v>2024</v>
      </c>
      <c r="B917" t="n">
        <v>7</v>
      </c>
      <c r="C917" s="24" t="n">
        <v>3511.71</v>
      </c>
      <c r="D917" t="n">
        <v>18</v>
      </c>
    </row>
    <row r="918">
      <c r="A918" t="n">
        <v>2024</v>
      </c>
      <c r="B918" t="n">
        <v>7</v>
      </c>
      <c r="C918" s="24" t="n">
        <v>8385.370000000001</v>
      </c>
      <c r="D918" t="n">
        <v>19</v>
      </c>
    </row>
    <row r="919">
      <c r="A919" t="n">
        <v>2024</v>
      </c>
      <c r="B919" t="n">
        <v>7</v>
      </c>
      <c r="C919" s="24" t="n">
        <v>2777.5</v>
      </c>
      <c r="D919" t="n">
        <v>20</v>
      </c>
    </row>
    <row r="920">
      <c r="A920" t="n">
        <v>2024</v>
      </c>
      <c r="B920" t="n">
        <v>7</v>
      </c>
      <c r="C920" s="24" t="n">
        <v>3139.24</v>
      </c>
      <c r="D920" t="n">
        <v>21</v>
      </c>
    </row>
    <row r="921">
      <c r="A921" t="n">
        <v>2024</v>
      </c>
      <c r="B921" t="n">
        <v>7</v>
      </c>
      <c r="C921" s="24" t="n">
        <v>3288.14</v>
      </c>
      <c r="D921" t="n">
        <v>22</v>
      </c>
    </row>
    <row r="922">
      <c r="A922" t="n">
        <v>2024</v>
      </c>
      <c r="B922" t="n">
        <v>7</v>
      </c>
      <c r="C922" s="24" t="n">
        <v>3996.1</v>
      </c>
      <c r="D922" t="n">
        <v>23</v>
      </c>
    </row>
    <row r="923">
      <c r="A923" t="n">
        <v>2024</v>
      </c>
      <c r="B923" t="n">
        <v>7</v>
      </c>
      <c r="C923" s="24" t="n">
        <v>6413.39</v>
      </c>
      <c r="D923" t="n">
        <v>24</v>
      </c>
    </row>
    <row r="924">
      <c r="A924" t="n">
        <v>2024</v>
      </c>
      <c r="B924" t="n">
        <v>7</v>
      </c>
      <c r="C924" s="24" t="n">
        <v>6355.75</v>
      </c>
      <c r="D924" t="n">
        <v>25</v>
      </c>
    </row>
    <row r="925">
      <c r="A925" t="n">
        <v>2024</v>
      </c>
      <c r="B925" t="n">
        <v>7</v>
      </c>
      <c r="C925" s="24" t="n">
        <v>5313.33</v>
      </c>
      <c r="D925" t="n">
        <v>26</v>
      </c>
    </row>
    <row r="926">
      <c r="A926" t="n">
        <v>2024</v>
      </c>
      <c r="B926" t="n">
        <v>7</v>
      </c>
      <c r="C926" s="24" t="n">
        <v>2266.56</v>
      </c>
      <c r="D926" t="n">
        <v>27</v>
      </c>
    </row>
    <row r="927">
      <c r="A927" t="n">
        <v>2024</v>
      </c>
      <c r="B927" t="n">
        <v>7</v>
      </c>
      <c r="C927" s="24" t="n">
        <v>1695.73</v>
      </c>
      <c r="D927" t="n">
        <v>28</v>
      </c>
    </row>
    <row r="928">
      <c r="A928" t="n">
        <v>2024</v>
      </c>
      <c r="B928" t="n">
        <v>7</v>
      </c>
      <c r="C928" s="24" t="n">
        <v>9939.389999999999</v>
      </c>
      <c r="D928" t="n">
        <v>29</v>
      </c>
    </row>
    <row r="929">
      <c r="A929" t="n">
        <v>2024</v>
      </c>
      <c r="B929" t="n">
        <v>7</v>
      </c>
      <c r="C929" s="24" t="n">
        <v>5746.58</v>
      </c>
      <c r="D929" t="n">
        <v>30</v>
      </c>
    </row>
    <row r="930">
      <c r="A930" t="n">
        <v>2024</v>
      </c>
      <c r="B930" t="n">
        <v>7</v>
      </c>
      <c r="C930" s="24" t="n">
        <v>1275.32</v>
      </c>
      <c r="D930" t="n">
        <v>31</v>
      </c>
    </row>
    <row r="931">
      <c r="A931" t="n">
        <v>2024</v>
      </c>
      <c r="B931" t="n">
        <v>8</v>
      </c>
      <c r="C931" s="24" t="n">
        <v>1126</v>
      </c>
      <c r="D931" t="n">
        <v>1</v>
      </c>
    </row>
    <row r="932">
      <c r="A932" t="n">
        <v>2024</v>
      </c>
      <c r="B932" t="n">
        <v>8</v>
      </c>
      <c r="C932" s="24" t="n">
        <v>4666.25</v>
      </c>
      <c r="D932" t="n">
        <v>2</v>
      </c>
    </row>
    <row r="933">
      <c r="A933" t="n">
        <v>2024</v>
      </c>
      <c r="B933" t="n">
        <v>8</v>
      </c>
      <c r="C933" s="24" t="n">
        <v>6451.58</v>
      </c>
      <c r="D933" t="n">
        <v>3</v>
      </c>
    </row>
    <row r="934">
      <c r="A934" t="n">
        <v>2024</v>
      </c>
      <c r="B934" t="n">
        <v>8</v>
      </c>
      <c r="C934" s="24" t="n">
        <v>1736.06</v>
      </c>
      <c r="D934" t="n">
        <v>4</v>
      </c>
    </row>
    <row r="935">
      <c r="A935" t="n">
        <v>2024</v>
      </c>
      <c r="B935" t="n">
        <v>8</v>
      </c>
      <c r="C935" s="24" t="n">
        <v>3244.15</v>
      </c>
      <c r="D935" t="n">
        <v>5</v>
      </c>
    </row>
    <row r="936">
      <c r="A936" t="n">
        <v>2024</v>
      </c>
      <c r="B936" t="n">
        <v>8</v>
      </c>
      <c r="C936" s="24" t="n">
        <v>939.37</v>
      </c>
      <c r="D936" t="n">
        <v>6</v>
      </c>
    </row>
    <row r="937">
      <c r="A937" t="n">
        <v>2024</v>
      </c>
      <c r="B937" t="n">
        <v>8</v>
      </c>
      <c r="C937" s="24" t="n">
        <v>1385.3</v>
      </c>
      <c r="D937" t="n">
        <v>7</v>
      </c>
    </row>
    <row r="938">
      <c r="A938" t="n">
        <v>2024</v>
      </c>
      <c r="B938" t="n">
        <v>8</v>
      </c>
      <c r="C938" s="24" t="n">
        <v>5818.02</v>
      </c>
      <c r="D938" t="n">
        <v>8</v>
      </c>
    </row>
    <row r="939">
      <c r="A939" t="n">
        <v>2024</v>
      </c>
      <c r="B939" t="n">
        <v>8</v>
      </c>
      <c r="C939" s="24" t="n">
        <v>4003.41</v>
      </c>
      <c r="D939" t="n">
        <v>9</v>
      </c>
    </row>
    <row r="940">
      <c r="A940" t="n">
        <v>2024</v>
      </c>
      <c r="B940" t="n">
        <v>8</v>
      </c>
      <c r="C940" s="24" t="n">
        <v>4260.66</v>
      </c>
      <c r="D940" t="n">
        <v>10</v>
      </c>
    </row>
    <row r="941">
      <c r="A941" t="n">
        <v>2024</v>
      </c>
      <c r="B941" t="n">
        <v>8</v>
      </c>
      <c r="C941" s="24" t="n">
        <v>4708.68</v>
      </c>
      <c r="D941" t="n">
        <v>11</v>
      </c>
    </row>
    <row r="942">
      <c r="A942" t="n">
        <v>2024</v>
      </c>
      <c r="B942" t="n">
        <v>8</v>
      </c>
      <c r="C942" s="24" t="n">
        <v>1109.4</v>
      </c>
      <c r="D942" t="n">
        <v>12</v>
      </c>
    </row>
    <row r="943">
      <c r="A943" t="n">
        <v>2024</v>
      </c>
      <c r="B943" t="n">
        <v>8</v>
      </c>
      <c r="C943" s="24" t="n">
        <v>1949.39</v>
      </c>
      <c r="D943" t="n">
        <v>13</v>
      </c>
    </row>
    <row r="944">
      <c r="A944" t="n">
        <v>2024</v>
      </c>
      <c r="B944" t="n">
        <v>8</v>
      </c>
      <c r="C944" s="24" t="n">
        <v>1037.4</v>
      </c>
      <c r="D944" t="n">
        <v>14</v>
      </c>
    </row>
    <row r="945">
      <c r="A945" t="n">
        <v>2024</v>
      </c>
      <c r="B945" t="n">
        <v>8</v>
      </c>
      <c r="C945" s="24" t="n">
        <v>2460.72</v>
      </c>
      <c r="D945" t="n">
        <v>16</v>
      </c>
    </row>
    <row r="946">
      <c r="A946" t="n">
        <v>2024</v>
      </c>
      <c r="B946" t="n">
        <v>8</v>
      </c>
      <c r="C946" s="24" t="n">
        <v>2603.7</v>
      </c>
      <c r="D946" t="n">
        <v>17</v>
      </c>
    </row>
    <row r="947">
      <c r="A947" t="n">
        <v>2024</v>
      </c>
      <c r="B947" t="n">
        <v>8</v>
      </c>
      <c r="C947" s="24" t="n">
        <v>2063.84</v>
      </c>
      <c r="D947" t="n">
        <v>18</v>
      </c>
    </row>
    <row r="948">
      <c r="A948" t="n">
        <v>2024</v>
      </c>
      <c r="B948" t="n">
        <v>8</v>
      </c>
      <c r="C948" s="24" t="n">
        <v>2313.4</v>
      </c>
      <c r="D948" t="n">
        <v>19</v>
      </c>
    </row>
    <row r="949">
      <c r="A949" t="n">
        <v>2024</v>
      </c>
      <c r="B949" t="n">
        <v>8</v>
      </c>
      <c r="C949" s="24" t="n">
        <v>1600.56</v>
      </c>
      <c r="D949" t="n">
        <v>21</v>
      </c>
    </row>
    <row r="950">
      <c r="A950" t="n">
        <v>2024</v>
      </c>
      <c r="B950" t="n">
        <v>8</v>
      </c>
      <c r="C950" s="24" t="n">
        <v>5742.74</v>
      </c>
      <c r="D950" t="n">
        <v>22</v>
      </c>
    </row>
    <row r="951">
      <c r="A951" t="n">
        <v>2024</v>
      </c>
      <c r="B951" t="n">
        <v>8</v>
      </c>
      <c r="C951" s="24" t="n">
        <v>6231.45</v>
      </c>
      <c r="D951" t="n">
        <v>23</v>
      </c>
    </row>
    <row r="952">
      <c r="A952" t="n">
        <v>2024</v>
      </c>
      <c r="B952" t="n">
        <v>8</v>
      </c>
      <c r="C952" s="24" t="n">
        <v>1492.89</v>
      </c>
      <c r="D952" t="n">
        <v>24</v>
      </c>
    </row>
    <row r="953">
      <c r="A953" t="n">
        <v>2024</v>
      </c>
      <c r="B953" t="n">
        <v>8</v>
      </c>
      <c r="C953" s="24" t="n">
        <v>1419.89</v>
      </c>
      <c r="D953" t="n">
        <v>25</v>
      </c>
    </row>
    <row r="954">
      <c r="A954" t="n">
        <v>2024</v>
      </c>
      <c r="B954" t="n">
        <v>8</v>
      </c>
      <c r="C954" s="24" t="n">
        <v>2509.14</v>
      </c>
      <c r="D954" t="n">
        <v>26</v>
      </c>
    </row>
    <row r="955">
      <c r="A955" t="n">
        <v>2024</v>
      </c>
      <c r="B955" t="n">
        <v>8</v>
      </c>
      <c r="C955" s="24" t="n">
        <v>2195.28</v>
      </c>
      <c r="D955" t="n">
        <v>27</v>
      </c>
    </row>
    <row r="956">
      <c r="A956" t="n">
        <v>2024</v>
      </c>
      <c r="B956" t="n">
        <v>8</v>
      </c>
      <c r="C956" s="24" t="n">
        <v>3129.93</v>
      </c>
      <c r="D956" t="n">
        <v>28</v>
      </c>
    </row>
    <row r="957">
      <c r="A957" t="n">
        <v>2024</v>
      </c>
      <c r="B957" t="n">
        <v>8</v>
      </c>
      <c r="C957" s="24" t="n">
        <v>3833.31</v>
      </c>
      <c r="D957" t="n">
        <v>29</v>
      </c>
    </row>
    <row r="958">
      <c r="A958" t="n">
        <v>2024</v>
      </c>
      <c r="B958" t="n">
        <v>8</v>
      </c>
      <c r="C958" s="24" t="n">
        <v>981.49</v>
      </c>
      <c r="D958" t="n">
        <v>30</v>
      </c>
    </row>
    <row r="959">
      <c r="A959" t="n">
        <v>2024</v>
      </c>
      <c r="B959" t="n">
        <v>8</v>
      </c>
      <c r="C959" s="24" t="n">
        <v>3309.83</v>
      </c>
      <c r="D959" t="n">
        <v>31</v>
      </c>
    </row>
    <row r="960">
      <c r="A960" t="n">
        <v>2024</v>
      </c>
      <c r="B960" t="n">
        <v>9</v>
      </c>
      <c r="C960" s="24" t="n">
        <v>1306.52</v>
      </c>
      <c r="D960" t="n">
        <v>1</v>
      </c>
    </row>
    <row r="961">
      <c r="A961" t="n">
        <v>2024</v>
      </c>
      <c r="B961" t="n">
        <v>9</v>
      </c>
      <c r="C961" s="24" t="n">
        <v>5350.4</v>
      </c>
      <c r="D961" t="n">
        <v>2</v>
      </c>
    </row>
    <row r="962">
      <c r="A962" t="n">
        <v>2024</v>
      </c>
      <c r="B962" t="n">
        <v>9</v>
      </c>
      <c r="C962" s="24" t="n">
        <v>2009.52</v>
      </c>
      <c r="D962" t="n">
        <v>3</v>
      </c>
    </row>
    <row r="963">
      <c r="A963" t="n">
        <v>2024</v>
      </c>
      <c r="B963" t="n">
        <v>9</v>
      </c>
      <c r="C963" s="24" t="n">
        <v>2299.38</v>
      </c>
      <c r="D963" t="n">
        <v>4</v>
      </c>
    </row>
    <row r="964">
      <c r="A964" t="n">
        <v>2024</v>
      </c>
      <c r="B964" t="n">
        <v>9</v>
      </c>
      <c r="C964" s="24" t="n">
        <v>1154.3</v>
      </c>
      <c r="D964" t="n">
        <v>5</v>
      </c>
    </row>
    <row r="965">
      <c r="A965" t="n">
        <v>2024</v>
      </c>
      <c r="B965" t="n">
        <v>9</v>
      </c>
      <c r="C965" s="24" t="n">
        <v>2980.4</v>
      </c>
      <c r="D965" t="n">
        <v>6</v>
      </c>
    </row>
    <row r="966">
      <c r="A966" t="n">
        <v>2024</v>
      </c>
      <c r="B966" t="n">
        <v>9</v>
      </c>
      <c r="C966" s="24" t="n">
        <v>8575.77</v>
      </c>
      <c r="D966" t="n">
        <v>7</v>
      </c>
    </row>
    <row r="967">
      <c r="A967" t="n">
        <v>2024</v>
      </c>
      <c r="B967" t="n">
        <v>9</v>
      </c>
      <c r="C967" s="24" t="n">
        <v>4297.32</v>
      </c>
      <c r="D967" t="n">
        <v>8</v>
      </c>
    </row>
    <row r="968">
      <c r="A968" t="n">
        <v>2024</v>
      </c>
      <c r="B968" t="n">
        <v>9</v>
      </c>
      <c r="C968" s="24" t="n">
        <v>8344.469999999999</v>
      </c>
      <c r="D968" t="n">
        <v>9</v>
      </c>
    </row>
    <row r="969">
      <c r="A969" t="n">
        <v>2024</v>
      </c>
      <c r="B969" t="n">
        <v>9</v>
      </c>
      <c r="C969" s="24" t="n">
        <v>4469.309999999999</v>
      </c>
      <c r="D969" t="n">
        <v>10</v>
      </c>
    </row>
    <row r="970">
      <c r="A970" t="n">
        <v>2024</v>
      </c>
      <c r="B970" t="n">
        <v>9</v>
      </c>
      <c r="C970" s="24" t="n">
        <v>1276.99</v>
      </c>
      <c r="D970" t="n">
        <v>11</v>
      </c>
    </row>
    <row r="971">
      <c r="A971" t="n">
        <v>2024</v>
      </c>
      <c r="B971" t="n">
        <v>9</v>
      </c>
      <c r="C971" s="24" t="n">
        <v>2550.74</v>
      </c>
      <c r="D971" t="n">
        <v>12</v>
      </c>
    </row>
    <row r="972">
      <c r="A972" t="n">
        <v>2024</v>
      </c>
      <c r="B972" t="n">
        <v>9</v>
      </c>
      <c r="C972" s="24" t="n">
        <v>6126.66</v>
      </c>
      <c r="D972" t="n">
        <v>13</v>
      </c>
    </row>
    <row r="973">
      <c r="A973" t="n">
        <v>2024</v>
      </c>
      <c r="B973" t="n">
        <v>9</v>
      </c>
      <c r="C973" s="24" t="n">
        <v>2767.01</v>
      </c>
      <c r="D973" t="n">
        <v>14</v>
      </c>
    </row>
    <row r="974">
      <c r="A974" t="n">
        <v>2024</v>
      </c>
      <c r="B974" t="n">
        <v>9</v>
      </c>
      <c r="C974" s="24" t="n">
        <v>1876.59</v>
      </c>
      <c r="D974" t="n">
        <v>15</v>
      </c>
    </row>
    <row r="975">
      <c r="A975" t="n">
        <v>2024</v>
      </c>
      <c r="B975" t="n">
        <v>9</v>
      </c>
      <c r="C975" s="24" t="n">
        <v>1222.5</v>
      </c>
      <c r="D975" t="n">
        <v>16</v>
      </c>
    </row>
    <row r="976">
      <c r="A976" t="n">
        <v>2024</v>
      </c>
      <c r="B976" t="n">
        <v>9</v>
      </c>
      <c r="C976" s="24" t="n">
        <v>5056.77</v>
      </c>
      <c r="D976" t="n">
        <v>17</v>
      </c>
    </row>
    <row r="977">
      <c r="A977" t="n">
        <v>2024</v>
      </c>
      <c r="B977" t="n">
        <v>9</v>
      </c>
      <c r="C977" s="24" t="n">
        <v>1489.41</v>
      </c>
      <c r="D977" t="n">
        <v>18</v>
      </c>
    </row>
    <row r="978">
      <c r="A978" t="n">
        <v>2024</v>
      </c>
      <c r="B978" t="n">
        <v>9</v>
      </c>
      <c r="C978" s="24" t="n">
        <v>6635.450000000001</v>
      </c>
      <c r="D978" t="n">
        <v>19</v>
      </c>
    </row>
    <row r="979">
      <c r="A979" t="n">
        <v>2024</v>
      </c>
      <c r="B979" t="n">
        <v>9</v>
      </c>
      <c r="C979" s="24" t="n">
        <v>2211.46</v>
      </c>
      <c r="D979" t="n">
        <v>20</v>
      </c>
    </row>
    <row r="980">
      <c r="A980" t="n">
        <v>2024</v>
      </c>
      <c r="B980" t="n">
        <v>9</v>
      </c>
      <c r="C980" s="24" t="n">
        <v>193.32</v>
      </c>
      <c r="D980" t="n">
        <v>21</v>
      </c>
    </row>
    <row r="981">
      <c r="A981" t="n">
        <v>2024</v>
      </c>
      <c r="B981" t="n">
        <v>9</v>
      </c>
      <c r="C981" s="24" t="n">
        <v>4388.33</v>
      </c>
      <c r="D981" t="n">
        <v>23</v>
      </c>
    </row>
    <row r="982">
      <c r="A982" t="n">
        <v>2024</v>
      </c>
      <c r="B982" t="n">
        <v>9</v>
      </c>
      <c r="C982" s="24" t="n">
        <v>993.84</v>
      </c>
      <c r="D982" t="n">
        <v>24</v>
      </c>
    </row>
    <row r="983">
      <c r="A983" t="n">
        <v>2024</v>
      </c>
      <c r="B983" t="n">
        <v>9</v>
      </c>
      <c r="C983" s="24" t="n">
        <v>1321.87</v>
      </c>
      <c r="D983" t="n">
        <v>25</v>
      </c>
    </row>
    <row r="984">
      <c r="A984" t="n">
        <v>2024</v>
      </c>
      <c r="B984" t="n">
        <v>9</v>
      </c>
      <c r="C984" s="24" t="n">
        <v>1013.25</v>
      </c>
      <c r="D984" t="n">
        <v>27</v>
      </c>
    </row>
    <row r="985">
      <c r="A985" t="n">
        <v>2024</v>
      </c>
      <c r="B985" t="n">
        <v>9</v>
      </c>
      <c r="C985" s="24" t="n">
        <v>11708.33</v>
      </c>
      <c r="D985" t="n">
        <v>28</v>
      </c>
    </row>
    <row r="986">
      <c r="A986" t="n">
        <v>2024</v>
      </c>
      <c r="B986" t="n">
        <v>9</v>
      </c>
      <c r="C986" s="24" t="n">
        <v>2335.12</v>
      </c>
      <c r="D986" t="n">
        <v>30</v>
      </c>
    </row>
    <row r="987">
      <c r="A987" t="n">
        <v>2024</v>
      </c>
      <c r="B987" t="n">
        <v>10</v>
      </c>
      <c r="C987" s="24" t="n">
        <v>884.45</v>
      </c>
      <c r="D987" t="n">
        <v>1</v>
      </c>
    </row>
    <row r="988">
      <c r="A988" t="n">
        <v>2024</v>
      </c>
      <c r="B988" t="n">
        <v>10</v>
      </c>
      <c r="C988" s="24" t="n">
        <v>5936.29</v>
      </c>
      <c r="D988" t="n">
        <v>2</v>
      </c>
    </row>
    <row r="989">
      <c r="A989" t="n">
        <v>2024</v>
      </c>
      <c r="B989" t="n">
        <v>10</v>
      </c>
      <c r="C989" s="24" t="n">
        <v>2821.38</v>
      </c>
      <c r="D989" t="n">
        <v>3</v>
      </c>
    </row>
    <row r="990">
      <c r="A990" t="n">
        <v>2024</v>
      </c>
      <c r="B990" t="n">
        <v>10</v>
      </c>
      <c r="C990" s="24" t="n">
        <v>3064.56</v>
      </c>
      <c r="D990" t="n">
        <v>4</v>
      </c>
    </row>
    <row r="991">
      <c r="A991" t="n">
        <v>2024</v>
      </c>
      <c r="B991" t="n">
        <v>10</v>
      </c>
      <c r="C991" s="24" t="n">
        <v>2537.67</v>
      </c>
      <c r="D991" t="n">
        <v>5</v>
      </c>
    </row>
    <row r="992">
      <c r="A992" t="n">
        <v>2024</v>
      </c>
      <c r="B992" t="n">
        <v>10</v>
      </c>
      <c r="C992" s="24" t="n">
        <v>2575.84</v>
      </c>
      <c r="D992" t="n">
        <v>6</v>
      </c>
    </row>
    <row r="993">
      <c r="A993" t="n">
        <v>2024</v>
      </c>
      <c r="B993" t="n">
        <v>10</v>
      </c>
      <c r="C993" s="24" t="n">
        <v>5275.389999999999</v>
      </c>
      <c r="D993" t="n">
        <v>7</v>
      </c>
    </row>
    <row r="994">
      <c r="A994" t="n">
        <v>2024</v>
      </c>
      <c r="B994" t="n">
        <v>10</v>
      </c>
      <c r="C994" s="24" t="n">
        <v>4205.51</v>
      </c>
      <c r="D994" t="n">
        <v>8</v>
      </c>
    </row>
    <row r="995">
      <c r="A995" t="n">
        <v>2024</v>
      </c>
      <c r="B995" t="n">
        <v>10</v>
      </c>
      <c r="C995" s="24" t="n">
        <v>9023.41</v>
      </c>
      <c r="D995" t="n">
        <v>9</v>
      </c>
    </row>
    <row r="996">
      <c r="A996" t="n">
        <v>2024</v>
      </c>
      <c r="B996" t="n">
        <v>10</v>
      </c>
      <c r="C996" s="24" t="n">
        <v>1906.5</v>
      </c>
      <c r="D996" t="n">
        <v>10</v>
      </c>
    </row>
    <row r="997">
      <c r="A997" t="n">
        <v>2024</v>
      </c>
      <c r="B997" t="n">
        <v>10</v>
      </c>
      <c r="C997" s="24" t="n">
        <v>165.2</v>
      </c>
      <c r="D997" t="n">
        <v>11</v>
      </c>
    </row>
    <row r="998">
      <c r="A998" t="n">
        <v>2024</v>
      </c>
      <c r="B998" t="n">
        <v>10</v>
      </c>
      <c r="C998" s="24" t="n">
        <v>620.01</v>
      </c>
      <c r="D998" t="n">
        <v>12</v>
      </c>
    </row>
    <row r="999">
      <c r="A999" t="n">
        <v>2024</v>
      </c>
      <c r="B999" t="n">
        <v>10</v>
      </c>
      <c r="C999" s="24" t="n">
        <v>554.85</v>
      </c>
      <c r="D999" t="n">
        <v>13</v>
      </c>
    </row>
    <row r="1000">
      <c r="A1000" t="n">
        <v>2024</v>
      </c>
      <c r="B1000" t="n">
        <v>10</v>
      </c>
      <c r="C1000" s="24" t="n">
        <v>1074.33</v>
      </c>
      <c r="D1000" t="n">
        <v>14</v>
      </c>
    </row>
    <row r="1001">
      <c r="A1001" t="n">
        <v>2024</v>
      </c>
      <c r="B1001" t="n">
        <v>10</v>
      </c>
      <c r="C1001" s="24" t="n">
        <v>6388.98</v>
      </c>
      <c r="D1001" t="n">
        <v>15</v>
      </c>
    </row>
    <row r="1002">
      <c r="A1002" t="n">
        <v>2024</v>
      </c>
      <c r="B1002" t="n">
        <v>10</v>
      </c>
      <c r="C1002" s="24" t="n">
        <v>6120.42</v>
      </c>
      <c r="D1002" t="n">
        <v>16</v>
      </c>
    </row>
    <row r="1003">
      <c r="A1003" t="n">
        <v>2024</v>
      </c>
      <c r="B1003" t="n">
        <v>10</v>
      </c>
      <c r="C1003" s="24" t="n">
        <v>1288.32</v>
      </c>
      <c r="D1003" t="n">
        <v>17</v>
      </c>
    </row>
    <row r="1004">
      <c r="A1004" t="n">
        <v>2024</v>
      </c>
      <c r="B1004" t="n">
        <v>10</v>
      </c>
      <c r="C1004" s="24" t="n">
        <v>378.45</v>
      </c>
      <c r="D1004" t="n">
        <v>18</v>
      </c>
    </row>
    <row r="1005">
      <c r="A1005" t="n">
        <v>2024</v>
      </c>
      <c r="B1005" t="n">
        <v>10</v>
      </c>
      <c r="C1005" s="24" t="n">
        <v>11794.63</v>
      </c>
      <c r="D1005" t="n">
        <v>19</v>
      </c>
    </row>
    <row r="1006">
      <c r="A1006" t="n">
        <v>2024</v>
      </c>
      <c r="B1006" t="n">
        <v>10</v>
      </c>
      <c r="C1006" s="24" t="n">
        <v>2509.55</v>
      </c>
      <c r="D1006" t="n">
        <v>20</v>
      </c>
    </row>
    <row r="1007">
      <c r="A1007" t="n">
        <v>2024</v>
      </c>
      <c r="B1007" t="n">
        <v>10</v>
      </c>
      <c r="C1007" s="24" t="n">
        <v>3732.66</v>
      </c>
      <c r="D1007" t="n">
        <v>21</v>
      </c>
    </row>
    <row r="1008">
      <c r="A1008" t="n">
        <v>2024</v>
      </c>
      <c r="B1008" t="n">
        <v>10</v>
      </c>
      <c r="C1008" s="24" t="n">
        <v>2665.97</v>
      </c>
      <c r="D1008" t="n">
        <v>22</v>
      </c>
    </row>
    <row r="1009">
      <c r="A1009" t="n">
        <v>2024</v>
      </c>
      <c r="B1009" t="n">
        <v>10</v>
      </c>
      <c r="C1009" s="24" t="n">
        <v>6994</v>
      </c>
      <c r="D1009" t="n">
        <v>23</v>
      </c>
    </row>
    <row r="1010">
      <c r="A1010" t="n">
        <v>2024</v>
      </c>
      <c r="B1010" t="n">
        <v>10</v>
      </c>
      <c r="C1010" s="24" t="n">
        <v>5861.2</v>
      </c>
      <c r="D1010" t="n">
        <v>24</v>
      </c>
    </row>
    <row r="1011">
      <c r="A1011" t="n">
        <v>2024</v>
      </c>
      <c r="B1011" t="n">
        <v>10</v>
      </c>
      <c r="C1011" s="24" t="n">
        <v>2101.96</v>
      </c>
      <c r="D1011" t="n">
        <v>26</v>
      </c>
    </row>
    <row r="1012">
      <c r="A1012" t="n">
        <v>2024</v>
      </c>
      <c r="B1012" t="n">
        <v>10</v>
      </c>
      <c r="C1012" s="24" t="n">
        <v>2354.08</v>
      </c>
      <c r="D1012" t="n">
        <v>27</v>
      </c>
    </row>
    <row r="1013">
      <c r="A1013" t="n">
        <v>2024</v>
      </c>
      <c r="B1013" t="n">
        <v>10</v>
      </c>
      <c r="C1013" s="24" t="n">
        <v>5839.57</v>
      </c>
      <c r="D1013" t="n">
        <v>28</v>
      </c>
    </row>
    <row r="1014">
      <c r="A1014" t="n">
        <v>2024</v>
      </c>
      <c r="B1014" t="n">
        <v>10</v>
      </c>
      <c r="C1014" s="24" t="n">
        <v>4054.54</v>
      </c>
      <c r="D1014" t="n">
        <v>29</v>
      </c>
    </row>
    <row r="1015">
      <c r="A1015" t="n">
        <v>2024</v>
      </c>
      <c r="B1015" t="n">
        <v>10</v>
      </c>
      <c r="C1015" s="24" t="n">
        <v>847.41</v>
      </c>
      <c r="D1015" t="n">
        <v>30</v>
      </c>
    </row>
    <row r="1016">
      <c r="A1016" t="n">
        <v>2024</v>
      </c>
      <c r="B1016" t="n">
        <v>10</v>
      </c>
      <c r="C1016" s="24" t="n">
        <v>4839.03</v>
      </c>
      <c r="D1016" t="n">
        <v>31</v>
      </c>
    </row>
    <row r="1017">
      <c r="A1017" t="n">
        <v>2024</v>
      </c>
      <c r="B1017" t="n">
        <v>11</v>
      </c>
      <c r="C1017" s="24" t="n">
        <v>808.17</v>
      </c>
      <c r="D1017" t="n">
        <v>1</v>
      </c>
    </row>
    <row r="1018">
      <c r="A1018" t="n">
        <v>2024</v>
      </c>
      <c r="B1018" t="n">
        <v>11</v>
      </c>
      <c r="C1018" s="24" t="n">
        <v>12632.47</v>
      </c>
      <c r="D1018" t="n">
        <v>2</v>
      </c>
    </row>
    <row r="1019">
      <c r="A1019" t="n">
        <v>2024</v>
      </c>
      <c r="B1019" t="n">
        <v>11</v>
      </c>
      <c r="C1019" s="24" t="n">
        <v>7231.190000000001</v>
      </c>
      <c r="D1019" t="n">
        <v>3</v>
      </c>
    </row>
    <row r="1020">
      <c r="A1020" t="n">
        <v>2024</v>
      </c>
      <c r="B1020" t="n">
        <v>11</v>
      </c>
      <c r="C1020" s="24" t="n">
        <v>3450.85</v>
      </c>
      <c r="D1020" t="n">
        <v>4</v>
      </c>
    </row>
    <row r="1021">
      <c r="A1021" t="n">
        <v>2024</v>
      </c>
      <c r="B1021" t="n">
        <v>11</v>
      </c>
      <c r="C1021" s="24" t="n">
        <v>5061.280000000001</v>
      </c>
      <c r="D1021" t="n">
        <v>5</v>
      </c>
    </row>
    <row r="1022">
      <c r="A1022" t="n">
        <v>2024</v>
      </c>
      <c r="B1022" t="n">
        <v>11</v>
      </c>
      <c r="C1022" s="24" t="n">
        <v>3981.07</v>
      </c>
      <c r="D1022" t="n">
        <v>6</v>
      </c>
    </row>
    <row r="1023">
      <c r="A1023" t="n">
        <v>2024</v>
      </c>
      <c r="B1023" t="n">
        <v>11</v>
      </c>
      <c r="C1023" s="24" t="n">
        <v>2802.2</v>
      </c>
      <c r="D1023" t="n">
        <v>7</v>
      </c>
    </row>
    <row r="1024">
      <c r="A1024" t="n">
        <v>2024</v>
      </c>
      <c r="B1024" t="n">
        <v>11</v>
      </c>
      <c r="C1024" s="24" t="n">
        <v>1580.04</v>
      </c>
      <c r="D1024" t="n">
        <v>8</v>
      </c>
    </row>
    <row r="1025">
      <c r="A1025" t="n">
        <v>2024</v>
      </c>
      <c r="B1025" t="n">
        <v>11</v>
      </c>
      <c r="C1025" s="24" t="n">
        <v>2805.34</v>
      </c>
      <c r="D1025" t="n">
        <v>9</v>
      </c>
    </row>
    <row r="1026">
      <c r="A1026" t="n">
        <v>2024</v>
      </c>
      <c r="B1026" t="n">
        <v>11</v>
      </c>
      <c r="C1026" s="24" t="n">
        <v>759.22</v>
      </c>
      <c r="D1026" t="n">
        <v>10</v>
      </c>
    </row>
    <row r="1027">
      <c r="A1027" t="n">
        <v>2024</v>
      </c>
      <c r="B1027" t="n">
        <v>11</v>
      </c>
      <c r="C1027" s="24" t="n">
        <v>1596.61</v>
      </c>
      <c r="D1027" t="n">
        <v>11</v>
      </c>
    </row>
    <row r="1028">
      <c r="A1028" t="n">
        <v>2024</v>
      </c>
      <c r="B1028" t="n">
        <v>11</v>
      </c>
      <c r="C1028" s="24" t="n">
        <v>1643.97</v>
      </c>
      <c r="D1028" t="n">
        <v>12</v>
      </c>
    </row>
    <row r="1029">
      <c r="A1029" t="n">
        <v>2024</v>
      </c>
      <c r="B1029" t="n">
        <v>11</v>
      </c>
      <c r="C1029" s="24" t="n">
        <v>2144.16</v>
      </c>
      <c r="D1029" t="n">
        <v>13</v>
      </c>
    </row>
    <row r="1030">
      <c r="A1030" t="n">
        <v>2024</v>
      </c>
      <c r="B1030" t="n">
        <v>11</v>
      </c>
      <c r="C1030" s="24" t="n">
        <v>1714.24</v>
      </c>
      <c r="D1030" t="n">
        <v>14</v>
      </c>
    </row>
    <row r="1031">
      <c r="A1031" t="n">
        <v>2024</v>
      </c>
      <c r="B1031" t="n">
        <v>11</v>
      </c>
      <c r="C1031" s="24" t="n">
        <v>3232.62</v>
      </c>
      <c r="D1031" t="n">
        <v>15</v>
      </c>
    </row>
    <row r="1032">
      <c r="A1032" t="n">
        <v>2024</v>
      </c>
      <c r="B1032" t="n">
        <v>11</v>
      </c>
      <c r="C1032" s="24" t="n">
        <v>1623.06</v>
      </c>
      <c r="D1032" t="n">
        <v>16</v>
      </c>
    </row>
    <row r="1033">
      <c r="A1033" t="n">
        <v>2024</v>
      </c>
      <c r="B1033" t="n">
        <v>11</v>
      </c>
      <c r="C1033" s="24" t="n">
        <v>1991.45</v>
      </c>
      <c r="D1033" t="n">
        <v>17</v>
      </c>
    </row>
    <row r="1034">
      <c r="A1034" t="n">
        <v>2024</v>
      </c>
      <c r="B1034" t="n">
        <v>11</v>
      </c>
      <c r="C1034" s="24" t="n">
        <v>4085.77</v>
      </c>
      <c r="D1034" t="n">
        <v>18</v>
      </c>
    </row>
    <row r="1035">
      <c r="A1035" t="n">
        <v>2024</v>
      </c>
      <c r="B1035" t="n">
        <v>11</v>
      </c>
      <c r="C1035" s="24" t="n">
        <v>2410.13</v>
      </c>
      <c r="D1035" t="n">
        <v>19</v>
      </c>
    </row>
    <row r="1036">
      <c r="A1036" t="n">
        <v>2024</v>
      </c>
      <c r="B1036" t="n">
        <v>11</v>
      </c>
      <c r="C1036" s="24" t="n">
        <v>216.05</v>
      </c>
      <c r="D1036" t="n">
        <v>20</v>
      </c>
    </row>
    <row r="1037">
      <c r="A1037" t="n">
        <v>2024</v>
      </c>
      <c r="B1037" t="n">
        <v>11</v>
      </c>
      <c r="C1037" s="24" t="n">
        <v>10451.03</v>
      </c>
      <c r="D1037" t="n">
        <v>21</v>
      </c>
    </row>
    <row r="1038">
      <c r="A1038" t="n">
        <v>2024</v>
      </c>
      <c r="B1038" t="n">
        <v>11</v>
      </c>
      <c r="C1038" s="24" t="n">
        <v>2040.14</v>
      </c>
      <c r="D1038" t="n">
        <v>22</v>
      </c>
    </row>
    <row r="1039">
      <c r="A1039" t="n">
        <v>2024</v>
      </c>
      <c r="B1039" t="n">
        <v>11</v>
      </c>
      <c r="C1039" s="24" t="n">
        <v>4556.04</v>
      </c>
      <c r="D1039" t="n">
        <v>23</v>
      </c>
    </row>
    <row r="1040">
      <c r="A1040" t="n">
        <v>2024</v>
      </c>
      <c r="B1040" t="n">
        <v>11</v>
      </c>
      <c r="C1040" s="24" t="n">
        <v>8876.860000000001</v>
      </c>
      <c r="D1040" t="n">
        <v>24</v>
      </c>
    </row>
    <row r="1041">
      <c r="A1041" t="n">
        <v>2024</v>
      </c>
      <c r="B1041" t="n">
        <v>11</v>
      </c>
      <c r="C1041" s="24" t="n">
        <v>6953.8</v>
      </c>
      <c r="D1041" t="n">
        <v>25</v>
      </c>
    </row>
    <row r="1042">
      <c r="A1042" t="n">
        <v>2024</v>
      </c>
      <c r="B1042" t="n">
        <v>11</v>
      </c>
      <c r="C1042" s="24" t="n">
        <v>2706.56</v>
      </c>
      <c r="D1042" t="n">
        <v>26</v>
      </c>
    </row>
    <row r="1043">
      <c r="A1043" t="n">
        <v>2024</v>
      </c>
      <c r="B1043" t="n">
        <v>11</v>
      </c>
      <c r="C1043" s="24" t="n">
        <v>503.31</v>
      </c>
      <c r="D1043" t="n">
        <v>27</v>
      </c>
    </row>
    <row r="1044">
      <c r="A1044" t="n">
        <v>2024</v>
      </c>
      <c r="B1044" t="n">
        <v>11</v>
      </c>
      <c r="C1044" s="24" t="n">
        <v>3279.99</v>
      </c>
      <c r="D1044" t="n">
        <v>28</v>
      </c>
    </row>
    <row r="1045">
      <c r="A1045" t="n">
        <v>2024</v>
      </c>
      <c r="B1045" t="n">
        <v>11</v>
      </c>
      <c r="C1045" s="24" t="n">
        <v>6321.81</v>
      </c>
      <c r="D1045" t="n">
        <v>29</v>
      </c>
    </row>
    <row r="1046">
      <c r="A1046" t="n">
        <v>2024</v>
      </c>
      <c r="B1046" t="n">
        <v>11</v>
      </c>
      <c r="C1046" s="24" t="n">
        <v>2243.36</v>
      </c>
      <c r="D1046" t="n">
        <v>30</v>
      </c>
    </row>
    <row r="1047">
      <c r="A1047" t="n">
        <v>2024</v>
      </c>
      <c r="B1047" t="n">
        <v>12</v>
      </c>
      <c r="C1047" s="24" t="n">
        <v>645.8299999999999</v>
      </c>
      <c r="D1047" t="n">
        <v>1</v>
      </c>
    </row>
    <row r="1048">
      <c r="A1048" t="n">
        <v>2024</v>
      </c>
      <c r="B1048" t="n">
        <v>12</v>
      </c>
      <c r="C1048" s="24" t="n">
        <v>5586.01</v>
      </c>
      <c r="D1048" t="n">
        <v>2</v>
      </c>
    </row>
    <row r="1049">
      <c r="A1049" t="n">
        <v>2024</v>
      </c>
      <c r="B1049" t="n">
        <v>12</v>
      </c>
      <c r="C1049" s="24" t="n">
        <v>2564.1</v>
      </c>
      <c r="D1049" t="n">
        <v>3</v>
      </c>
    </row>
    <row r="1050">
      <c r="A1050" t="n">
        <v>2024</v>
      </c>
      <c r="B1050" t="n">
        <v>12</v>
      </c>
      <c r="C1050" s="24" t="n">
        <v>2463.86</v>
      </c>
      <c r="D1050" t="n">
        <v>4</v>
      </c>
    </row>
    <row r="1051">
      <c r="A1051" t="n">
        <v>2024</v>
      </c>
      <c r="B1051" t="n">
        <v>12</v>
      </c>
      <c r="C1051" s="24" t="n">
        <v>5386.28</v>
      </c>
      <c r="D1051" t="n">
        <v>5</v>
      </c>
    </row>
    <row r="1052">
      <c r="A1052" t="n">
        <v>2024</v>
      </c>
      <c r="B1052" t="n">
        <v>12</v>
      </c>
      <c r="C1052" s="24" t="n">
        <v>4663.889999999999</v>
      </c>
      <c r="D1052" t="n">
        <v>6</v>
      </c>
    </row>
    <row r="1053">
      <c r="A1053" t="n">
        <v>2024</v>
      </c>
      <c r="B1053" t="n">
        <v>12</v>
      </c>
      <c r="C1053" s="24" t="n">
        <v>9294.610000000001</v>
      </c>
      <c r="D1053" t="n">
        <v>7</v>
      </c>
    </row>
    <row r="1054">
      <c r="A1054" t="n">
        <v>2024</v>
      </c>
      <c r="B1054" t="n">
        <v>12</v>
      </c>
      <c r="C1054" s="24" t="n">
        <v>9423.67</v>
      </c>
      <c r="D1054" t="n">
        <v>8</v>
      </c>
    </row>
    <row r="1055">
      <c r="A1055" t="n">
        <v>2024</v>
      </c>
      <c r="B1055" t="n">
        <v>12</v>
      </c>
      <c r="C1055" s="24" t="n">
        <v>17686.26</v>
      </c>
      <c r="D1055" t="n">
        <v>9</v>
      </c>
    </row>
    <row r="1056">
      <c r="A1056" t="n">
        <v>2024</v>
      </c>
      <c r="B1056" t="n">
        <v>12</v>
      </c>
      <c r="C1056" s="24" t="n">
        <v>2426.14</v>
      </c>
      <c r="D1056" t="n">
        <v>10</v>
      </c>
    </row>
    <row r="1057">
      <c r="A1057" t="n">
        <v>2024</v>
      </c>
      <c r="B1057" t="n">
        <v>12</v>
      </c>
      <c r="C1057" s="24" t="n">
        <v>1477.26</v>
      </c>
      <c r="D1057" t="n">
        <v>11</v>
      </c>
    </row>
    <row r="1058">
      <c r="A1058" t="n">
        <v>2024</v>
      </c>
      <c r="B1058" t="n">
        <v>12</v>
      </c>
      <c r="C1058" s="24" t="n">
        <v>6452.5</v>
      </c>
      <c r="D1058" t="n">
        <v>12</v>
      </c>
    </row>
    <row r="1059">
      <c r="A1059" t="n">
        <v>2024</v>
      </c>
      <c r="B1059" t="n">
        <v>12</v>
      </c>
      <c r="C1059" s="24" t="n">
        <v>8092.53</v>
      </c>
      <c r="D1059" t="n">
        <v>13</v>
      </c>
    </row>
    <row r="1060">
      <c r="A1060" t="n">
        <v>2024</v>
      </c>
      <c r="B1060" t="n">
        <v>12</v>
      </c>
      <c r="C1060" s="24" t="n">
        <v>2386.23</v>
      </c>
      <c r="D1060" t="n">
        <v>14</v>
      </c>
    </row>
    <row r="1061">
      <c r="A1061" t="n">
        <v>2024</v>
      </c>
      <c r="B1061" t="n">
        <v>12</v>
      </c>
      <c r="C1061" s="24" t="n">
        <v>3288.61</v>
      </c>
      <c r="D1061" t="n">
        <v>15</v>
      </c>
    </row>
    <row r="1062">
      <c r="A1062" t="n">
        <v>2024</v>
      </c>
      <c r="B1062" t="n">
        <v>12</v>
      </c>
      <c r="C1062" s="24" t="n">
        <v>9444.74</v>
      </c>
      <c r="D1062" t="n">
        <v>16</v>
      </c>
    </row>
    <row r="1063">
      <c r="A1063" t="n">
        <v>2024</v>
      </c>
      <c r="B1063" t="n">
        <v>12</v>
      </c>
      <c r="C1063" s="24" t="n">
        <v>3353.2</v>
      </c>
      <c r="D1063" t="n">
        <v>17</v>
      </c>
    </row>
    <row r="1064">
      <c r="A1064" t="n">
        <v>2024</v>
      </c>
      <c r="B1064" t="n">
        <v>12</v>
      </c>
      <c r="C1064" s="24" t="n">
        <v>973.38</v>
      </c>
      <c r="D1064" t="n">
        <v>18</v>
      </c>
    </row>
    <row r="1065">
      <c r="A1065" t="n">
        <v>2024</v>
      </c>
      <c r="B1065" t="n">
        <v>12</v>
      </c>
      <c r="C1065" s="24" t="n">
        <v>6159.35</v>
      </c>
      <c r="D1065" t="n">
        <v>19</v>
      </c>
    </row>
    <row r="1066">
      <c r="A1066" t="n">
        <v>2024</v>
      </c>
      <c r="B1066" t="n">
        <v>12</v>
      </c>
      <c r="C1066" s="24" t="n">
        <v>13029.44</v>
      </c>
      <c r="D1066" t="n">
        <v>20</v>
      </c>
    </row>
    <row r="1067">
      <c r="A1067" t="n">
        <v>2024</v>
      </c>
      <c r="B1067" t="n">
        <v>12</v>
      </c>
      <c r="C1067" s="24" t="n">
        <v>3327.76</v>
      </c>
      <c r="D1067" t="n">
        <v>21</v>
      </c>
    </row>
    <row r="1068">
      <c r="A1068" t="n">
        <v>2024</v>
      </c>
      <c r="B1068" t="n">
        <v>12</v>
      </c>
      <c r="C1068" s="24" t="n">
        <v>1853.85</v>
      </c>
      <c r="D1068" t="n">
        <v>22</v>
      </c>
    </row>
    <row r="1069">
      <c r="A1069" t="n">
        <v>2024</v>
      </c>
      <c r="B1069" t="n">
        <v>12</v>
      </c>
      <c r="C1069" s="24" t="n">
        <v>930.1799999999999</v>
      </c>
      <c r="D1069" t="n">
        <v>23</v>
      </c>
    </row>
    <row r="1070">
      <c r="A1070" t="n">
        <v>2024</v>
      </c>
      <c r="B1070" t="n">
        <v>12</v>
      </c>
      <c r="C1070" s="24" t="n">
        <v>4279.05</v>
      </c>
      <c r="D1070" t="n">
        <v>24</v>
      </c>
    </row>
    <row r="1071">
      <c r="A1071" t="n">
        <v>2024</v>
      </c>
      <c r="B1071" t="n">
        <v>12</v>
      </c>
      <c r="C1071" s="24" t="n">
        <v>2627.98</v>
      </c>
      <c r="D1071" t="n">
        <v>25</v>
      </c>
    </row>
    <row r="1072">
      <c r="A1072" t="n">
        <v>2024</v>
      </c>
      <c r="B1072" t="n">
        <v>12</v>
      </c>
      <c r="C1072" s="24" t="n">
        <v>977.27</v>
      </c>
      <c r="D1072" t="n">
        <v>26</v>
      </c>
    </row>
    <row r="1073">
      <c r="A1073" t="n">
        <v>2024</v>
      </c>
      <c r="B1073" t="n">
        <v>12</v>
      </c>
      <c r="C1073" s="24" t="n">
        <v>2932.75</v>
      </c>
      <c r="D1073" t="n">
        <v>27</v>
      </c>
    </row>
    <row r="1074">
      <c r="A1074" t="n">
        <v>2024</v>
      </c>
      <c r="B1074" t="n">
        <v>12</v>
      </c>
      <c r="C1074" s="24" t="n">
        <v>3537.88</v>
      </c>
      <c r="D1074" t="n">
        <v>28</v>
      </c>
    </row>
    <row r="1075">
      <c r="A1075" t="n">
        <v>2024</v>
      </c>
      <c r="B1075" t="n">
        <v>12</v>
      </c>
      <c r="C1075" s="24" t="n">
        <v>4757.2</v>
      </c>
      <c r="D1075" t="n">
        <v>29</v>
      </c>
    </row>
    <row r="1076">
      <c r="A1076" t="n">
        <v>2024</v>
      </c>
      <c r="B1076" t="n">
        <v>12</v>
      </c>
      <c r="C1076" s="24" t="n">
        <v>4394.42</v>
      </c>
      <c r="D1076" t="n">
        <v>30</v>
      </c>
    </row>
    <row r="1077">
      <c r="A1077" t="n">
        <v>2024</v>
      </c>
      <c r="B1077" t="n">
        <v>12</v>
      </c>
      <c r="C1077" s="24" t="n">
        <v>1460.92</v>
      </c>
      <c r="D1077" t="n">
        <v>31</v>
      </c>
    </row>
    <row r="1078">
      <c r="A1078" t="n">
        <v>2025</v>
      </c>
      <c r="B1078" t="n">
        <v>1</v>
      </c>
      <c r="C1078" s="24" t="n">
        <v>5139.9</v>
      </c>
      <c r="D1078" t="n">
        <v>1</v>
      </c>
    </row>
    <row r="1079">
      <c r="A1079" t="n">
        <v>2025</v>
      </c>
      <c r="B1079" t="n">
        <v>1</v>
      </c>
      <c r="C1079" s="24" t="n">
        <v>1296.23</v>
      </c>
      <c r="D1079" t="n">
        <v>2</v>
      </c>
    </row>
    <row r="1080">
      <c r="A1080" t="n">
        <v>2025</v>
      </c>
      <c r="B1080" t="n">
        <v>1</v>
      </c>
      <c r="C1080" s="24" t="n">
        <v>2466.18</v>
      </c>
      <c r="D1080" t="n">
        <v>3</v>
      </c>
    </row>
    <row r="1081">
      <c r="A1081" t="n">
        <v>2025</v>
      </c>
      <c r="B1081" t="n">
        <v>1</v>
      </c>
      <c r="C1081" s="24" t="n">
        <v>2697.71</v>
      </c>
      <c r="D1081" t="n">
        <v>4</v>
      </c>
    </row>
    <row r="1082">
      <c r="A1082" t="n">
        <v>2025</v>
      </c>
      <c r="B1082" t="n">
        <v>1</v>
      </c>
      <c r="C1082" s="24" t="n">
        <v>6018.28</v>
      </c>
      <c r="D1082" t="n">
        <v>5</v>
      </c>
    </row>
    <row r="1083">
      <c r="A1083" t="n">
        <v>2025</v>
      </c>
      <c r="B1083" t="n">
        <v>1</v>
      </c>
      <c r="C1083" s="24" t="n">
        <v>1220.8</v>
      </c>
      <c r="D1083" t="n">
        <v>6</v>
      </c>
    </row>
    <row r="1084">
      <c r="A1084" t="n">
        <v>2025</v>
      </c>
      <c r="B1084" t="n">
        <v>1</v>
      </c>
      <c r="C1084" s="24" t="n">
        <v>6582.88</v>
      </c>
      <c r="D1084" t="n">
        <v>8</v>
      </c>
    </row>
    <row r="1085">
      <c r="A1085" t="n">
        <v>2025</v>
      </c>
      <c r="B1085" t="n">
        <v>1</v>
      </c>
      <c r="C1085" s="24" t="n">
        <v>1494.54</v>
      </c>
      <c r="D1085" t="n">
        <v>9</v>
      </c>
    </row>
    <row r="1086">
      <c r="A1086" t="n">
        <v>2025</v>
      </c>
      <c r="B1086" t="n">
        <v>1</v>
      </c>
      <c r="C1086" s="24" t="n">
        <v>3516.69</v>
      </c>
      <c r="D1086" t="n">
        <v>10</v>
      </c>
    </row>
    <row r="1087">
      <c r="A1087" t="n">
        <v>2025</v>
      </c>
      <c r="B1087" t="n">
        <v>1</v>
      </c>
      <c r="C1087" s="24" t="n">
        <v>1914.64</v>
      </c>
      <c r="D1087" t="n">
        <v>11</v>
      </c>
    </row>
    <row r="1088">
      <c r="A1088" t="n">
        <v>2025</v>
      </c>
      <c r="B1088" t="n">
        <v>1</v>
      </c>
      <c r="C1088" s="24" t="n">
        <v>8533.639999999999</v>
      </c>
      <c r="D1088" t="n">
        <v>12</v>
      </c>
    </row>
    <row r="1089">
      <c r="A1089" t="n">
        <v>2025</v>
      </c>
      <c r="B1089" t="n">
        <v>1</v>
      </c>
      <c r="C1089" s="24" t="n">
        <v>1455.51</v>
      </c>
      <c r="D1089" t="n">
        <v>13</v>
      </c>
    </row>
    <row r="1090">
      <c r="A1090" t="n">
        <v>2025</v>
      </c>
      <c r="B1090" t="n">
        <v>1</v>
      </c>
      <c r="C1090" s="24" t="n">
        <v>1332.75</v>
      </c>
      <c r="D1090" t="n">
        <v>14</v>
      </c>
    </row>
    <row r="1091">
      <c r="A1091" t="n">
        <v>2025</v>
      </c>
      <c r="B1091" t="n">
        <v>1</v>
      </c>
      <c r="C1091" s="24" t="n">
        <v>1882.12</v>
      </c>
      <c r="D1091" t="n">
        <v>15</v>
      </c>
    </row>
    <row r="1092">
      <c r="A1092" t="n">
        <v>2025</v>
      </c>
      <c r="B1092" t="n">
        <v>1</v>
      </c>
      <c r="C1092" s="24" t="n">
        <v>3434.58</v>
      </c>
      <c r="D1092" t="n">
        <v>16</v>
      </c>
    </row>
    <row r="1093">
      <c r="A1093" t="n">
        <v>2025</v>
      </c>
      <c r="B1093" t="n">
        <v>1</v>
      </c>
      <c r="C1093" s="24" t="n">
        <v>239.68</v>
      </c>
      <c r="D1093" t="n">
        <v>17</v>
      </c>
    </row>
    <row r="1094">
      <c r="A1094" t="n">
        <v>2025</v>
      </c>
      <c r="B1094" t="n">
        <v>1</v>
      </c>
      <c r="C1094" s="24" t="n">
        <v>7252.77</v>
      </c>
      <c r="D1094" t="n">
        <v>18</v>
      </c>
    </row>
    <row r="1095">
      <c r="A1095" t="n">
        <v>2025</v>
      </c>
      <c r="B1095" t="n">
        <v>1</v>
      </c>
      <c r="C1095" s="24" t="n">
        <v>987.66</v>
      </c>
      <c r="D1095" t="n">
        <v>19</v>
      </c>
    </row>
    <row r="1096">
      <c r="A1096" t="n">
        <v>2025</v>
      </c>
      <c r="B1096" t="n">
        <v>1</v>
      </c>
      <c r="C1096" s="24" t="n">
        <v>2992.7</v>
      </c>
      <c r="D1096" t="n">
        <v>20</v>
      </c>
    </row>
    <row r="1097">
      <c r="A1097" t="n">
        <v>2025</v>
      </c>
      <c r="B1097" t="n">
        <v>1</v>
      </c>
      <c r="C1097" s="24" t="n">
        <v>1162.71</v>
      </c>
      <c r="D1097" t="n">
        <v>21</v>
      </c>
    </row>
    <row r="1098">
      <c r="A1098" t="n">
        <v>2025</v>
      </c>
      <c r="B1098" t="n">
        <v>1</v>
      </c>
      <c r="C1098" s="24" t="n">
        <v>1440.44</v>
      </c>
      <c r="D1098" t="n">
        <v>22</v>
      </c>
    </row>
    <row r="1099">
      <c r="A1099" t="n">
        <v>2025</v>
      </c>
      <c r="B1099" t="n">
        <v>1</v>
      </c>
      <c r="C1099" s="24" t="n">
        <v>817.25</v>
      </c>
      <c r="D1099" t="n">
        <v>23</v>
      </c>
    </row>
    <row r="1100">
      <c r="A1100" t="n">
        <v>2025</v>
      </c>
      <c r="B1100" t="n">
        <v>1</v>
      </c>
      <c r="C1100" s="24" t="n">
        <v>2531.03</v>
      </c>
      <c r="D1100" t="n">
        <v>24</v>
      </c>
    </row>
    <row r="1101">
      <c r="A1101" t="n">
        <v>2025</v>
      </c>
      <c r="B1101" t="n">
        <v>1</v>
      </c>
      <c r="C1101" s="24" t="n">
        <v>6502.96</v>
      </c>
      <c r="D1101" t="n">
        <v>25</v>
      </c>
    </row>
    <row r="1102">
      <c r="A1102" t="n">
        <v>2025</v>
      </c>
      <c r="B1102" t="n">
        <v>1</v>
      </c>
      <c r="C1102" s="24" t="n">
        <v>8501.75</v>
      </c>
      <c r="D1102" t="n">
        <v>27</v>
      </c>
    </row>
    <row r="1103">
      <c r="A1103" t="n">
        <v>2025</v>
      </c>
      <c r="B1103" t="n">
        <v>1</v>
      </c>
      <c r="C1103" s="24" t="n">
        <v>7623.309999999999</v>
      </c>
      <c r="D1103" t="n">
        <v>28</v>
      </c>
    </row>
    <row r="1104">
      <c r="A1104" t="n">
        <v>2025</v>
      </c>
      <c r="B1104" t="n">
        <v>1</v>
      </c>
      <c r="C1104" s="24" t="n">
        <v>1127.79</v>
      </c>
      <c r="D1104" t="n">
        <v>29</v>
      </c>
    </row>
    <row r="1105">
      <c r="A1105" t="n">
        <v>2025</v>
      </c>
      <c r="B1105" t="n">
        <v>1</v>
      </c>
      <c r="C1105" s="24" t="n">
        <v>3417.03</v>
      </c>
      <c r="D1105" t="n">
        <v>30</v>
      </c>
    </row>
    <row r="1106">
      <c r="A1106" t="n">
        <v>2025</v>
      </c>
      <c r="B1106" t="n">
        <v>1</v>
      </c>
      <c r="C1106" s="24" t="n">
        <v>3679.93</v>
      </c>
      <c r="D1106" t="n">
        <v>31</v>
      </c>
    </row>
    <row r="1107">
      <c r="A1107" t="n">
        <v>2025</v>
      </c>
      <c r="B1107" t="n">
        <v>2</v>
      </c>
      <c r="C1107" s="24" t="n">
        <v>3731.27</v>
      </c>
      <c r="D1107" t="n">
        <v>1</v>
      </c>
    </row>
    <row r="1108">
      <c r="A1108" t="n">
        <v>2025</v>
      </c>
      <c r="B1108" t="n">
        <v>2</v>
      </c>
      <c r="C1108" s="24" t="n">
        <v>3336.13</v>
      </c>
      <c r="D1108" t="n">
        <v>2</v>
      </c>
    </row>
    <row r="1109">
      <c r="A1109" t="n">
        <v>2025</v>
      </c>
      <c r="B1109" t="n">
        <v>2</v>
      </c>
      <c r="C1109" s="24" t="n">
        <v>3794.64</v>
      </c>
      <c r="D1109" t="n">
        <v>3</v>
      </c>
    </row>
    <row r="1110">
      <c r="A1110" t="n">
        <v>2025</v>
      </c>
      <c r="B1110" t="n">
        <v>2</v>
      </c>
      <c r="C1110" s="24" t="n">
        <v>5304.940000000001</v>
      </c>
      <c r="D1110" t="n">
        <v>4</v>
      </c>
    </row>
    <row r="1111">
      <c r="A1111" t="n">
        <v>2025</v>
      </c>
      <c r="B1111" t="n">
        <v>2</v>
      </c>
      <c r="C1111" s="24" t="n">
        <v>1350.8</v>
      </c>
      <c r="D1111" t="n">
        <v>5</v>
      </c>
    </row>
    <row r="1112">
      <c r="A1112" t="n">
        <v>2025</v>
      </c>
      <c r="B1112" t="n">
        <v>2</v>
      </c>
      <c r="C1112" s="24" t="n">
        <v>2361.6</v>
      </c>
      <c r="D1112" t="n">
        <v>6</v>
      </c>
    </row>
    <row r="1113">
      <c r="A1113" t="n">
        <v>2025</v>
      </c>
      <c r="B1113" t="n">
        <v>2</v>
      </c>
      <c r="C1113" s="24" t="n">
        <v>5633.190000000001</v>
      </c>
      <c r="D1113" t="n">
        <v>7</v>
      </c>
    </row>
    <row r="1114">
      <c r="A1114" t="n">
        <v>2025</v>
      </c>
      <c r="B1114" t="n">
        <v>2</v>
      </c>
      <c r="C1114" s="24" t="n">
        <v>982.28</v>
      </c>
      <c r="D1114" t="n">
        <v>8</v>
      </c>
    </row>
    <row r="1115">
      <c r="A1115" t="n">
        <v>2025</v>
      </c>
      <c r="B1115" t="n">
        <v>2</v>
      </c>
      <c r="C1115" s="24" t="n">
        <v>3140.02</v>
      </c>
      <c r="D1115" t="n">
        <v>9</v>
      </c>
    </row>
    <row r="1116">
      <c r="A1116" t="n">
        <v>2025</v>
      </c>
      <c r="B1116" t="n">
        <v>2</v>
      </c>
      <c r="C1116" s="24" t="n">
        <v>1611.53</v>
      </c>
      <c r="D1116" t="n">
        <v>10</v>
      </c>
    </row>
    <row r="1117">
      <c r="A1117" t="n">
        <v>2025</v>
      </c>
      <c r="B1117" t="n">
        <v>2</v>
      </c>
      <c r="C1117" s="24" t="n">
        <v>4682.76</v>
      </c>
      <c r="D1117" t="n">
        <v>11</v>
      </c>
    </row>
    <row r="1118">
      <c r="A1118" t="n">
        <v>2025</v>
      </c>
      <c r="B1118" t="n">
        <v>2</v>
      </c>
      <c r="C1118" s="24" t="n">
        <v>2321.36</v>
      </c>
      <c r="D1118" t="n">
        <v>12</v>
      </c>
    </row>
    <row r="1119">
      <c r="A1119" t="n">
        <v>2025</v>
      </c>
      <c r="B1119" t="n">
        <v>2</v>
      </c>
      <c r="C1119" s="24" t="n">
        <v>6282.440000000001</v>
      </c>
      <c r="D1119" t="n">
        <v>13</v>
      </c>
    </row>
    <row r="1120">
      <c r="A1120" t="n">
        <v>2025</v>
      </c>
      <c r="B1120" t="n">
        <v>2</v>
      </c>
      <c r="C1120" s="24" t="n">
        <v>7826.13</v>
      </c>
      <c r="D1120" t="n">
        <v>14</v>
      </c>
    </row>
    <row r="1121">
      <c r="A1121" t="n">
        <v>2025</v>
      </c>
      <c r="B1121" t="n">
        <v>2</v>
      </c>
      <c r="C1121" s="24" t="n">
        <v>7654.32</v>
      </c>
      <c r="D1121" t="n">
        <v>15</v>
      </c>
    </row>
    <row r="1122">
      <c r="A1122" t="n">
        <v>2025</v>
      </c>
      <c r="B1122" t="n">
        <v>2</v>
      </c>
      <c r="C1122" s="24" t="n">
        <v>3433.23</v>
      </c>
      <c r="D1122" t="n">
        <v>16</v>
      </c>
    </row>
    <row r="1123">
      <c r="A1123" t="n">
        <v>2025</v>
      </c>
      <c r="B1123" t="n">
        <v>2</v>
      </c>
      <c r="C1123" s="24" t="n">
        <v>6911.66</v>
      </c>
      <c r="D1123" t="n">
        <v>18</v>
      </c>
    </row>
    <row r="1124">
      <c r="A1124" t="n">
        <v>2025</v>
      </c>
      <c r="B1124" t="n">
        <v>2</v>
      </c>
      <c r="C1124" s="24" t="n">
        <v>6313.58</v>
      </c>
      <c r="D1124" t="n">
        <v>19</v>
      </c>
    </row>
    <row r="1125">
      <c r="A1125" t="n">
        <v>2025</v>
      </c>
      <c r="B1125" t="n">
        <v>2</v>
      </c>
      <c r="C1125" s="24" t="n">
        <v>2838.73</v>
      </c>
      <c r="D1125" t="n">
        <v>20</v>
      </c>
    </row>
    <row r="1126">
      <c r="A1126" t="n">
        <v>2025</v>
      </c>
      <c r="B1126" t="n">
        <v>2</v>
      </c>
      <c r="C1126" s="24" t="n">
        <v>407.85</v>
      </c>
      <c r="D1126" t="n">
        <v>21</v>
      </c>
    </row>
    <row r="1127">
      <c r="A1127" t="n">
        <v>2025</v>
      </c>
      <c r="B1127" t="n">
        <v>2</v>
      </c>
      <c r="C1127" s="24" t="n">
        <v>568.6900000000001</v>
      </c>
      <c r="D1127" t="n">
        <v>22</v>
      </c>
    </row>
    <row r="1128">
      <c r="A1128" t="n">
        <v>2025</v>
      </c>
      <c r="B1128" t="n">
        <v>2</v>
      </c>
      <c r="C1128" s="24" t="n">
        <v>2145.01</v>
      </c>
      <c r="D1128" t="n">
        <v>23</v>
      </c>
    </row>
    <row r="1129">
      <c r="A1129" t="n">
        <v>2025</v>
      </c>
      <c r="B1129" t="n">
        <v>2</v>
      </c>
      <c r="C1129" s="24" t="n">
        <v>413.36</v>
      </c>
      <c r="D1129" t="n">
        <v>24</v>
      </c>
    </row>
    <row r="1130">
      <c r="A1130" t="n">
        <v>2025</v>
      </c>
      <c r="B1130" t="n">
        <v>2</v>
      </c>
      <c r="C1130" s="24" t="n">
        <v>1451.49</v>
      </c>
      <c r="D1130" t="n">
        <v>25</v>
      </c>
    </row>
    <row r="1131">
      <c r="A1131" t="n">
        <v>2025</v>
      </c>
      <c r="B1131" t="n">
        <v>2</v>
      </c>
      <c r="C1131" s="24" t="n">
        <v>2245.22</v>
      </c>
      <c r="D1131" t="n">
        <v>26</v>
      </c>
    </row>
    <row r="1132">
      <c r="A1132" t="n">
        <v>2025</v>
      </c>
      <c r="B1132" t="n">
        <v>2</v>
      </c>
      <c r="C1132" s="24" t="n">
        <v>4474.91</v>
      </c>
      <c r="D1132" t="n">
        <v>28</v>
      </c>
    </row>
    <row r="1133">
      <c r="A1133" t="n">
        <v>2025</v>
      </c>
      <c r="B1133" t="n">
        <v>3</v>
      </c>
      <c r="C1133" s="24" t="n">
        <v>1772.88</v>
      </c>
      <c r="D1133" t="n">
        <v>1</v>
      </c>
    </row>
    <row r="1134">
      <c r="A1134" t="n">
        <v>2025</v>
      </c>
      <c r="B1134" t="n">
        <v>3</v>
      </c>
      <c r="C1134" s="24" t="n">
        <v>235.26</v>
      </c>
      <c r="D1134" t="n">
        <v>2</v>
      </c>
    </row>
    <row r="1135">
      <c r="A1135" t="n">
        <v>2025</v>
      </c>
      <c r="B1135" t="n">
        <v>3</v>
      </c>
      <c r="C1135" s="24" t="n">
        <v>4216.09</v>
      </c>
      <c r="D1135" t="n">
        <v>3</v>
      </c>
    </row>
    <row r="1136">
      <c r="A1136" t="n">
        <v>2025</v>
      </c>
      <c r="B1136" t="n">
        <v>3</v>
      </c>
      <c r="C1136" s="24" t="n">
        <v>346.17</v>
      </c>
      <c r="D1136" t="n">
        <v>4</v>
      </c>
    </row>
    <row r="1137">
      <c r="A1137" t="n">
        <v>2025</v>
      </c>
      <c r="B1137" t="n">
        <v>3</v>
      </c>
      <c r="C1137" s="24" t="n">
        <v>557.04</v>
      </c>
      <c r="D1137" t="n">
        <v>5</v>
      </c>
    </row>
    <row r="1138">
      <c r="A1138" t="n">
        <v>2025</v>
      </c>
      <c r="B1138" t="n">
        <v>3</v>
      </c>
      <c r="C1138" s="24" t="n">
        <v>1668.5</v>
      </c>
      <c r="D1138" t="n">
        <v>6</v>
      </c>
    </row>
    <row r="1139">
      <c r="A1139" t="n">
        <v>2025</v>
      </c>
      <c r="B1139" t="n">
        <v>3</v>
      </c>
      <c r="C1139" s="24" t="n">
        <v>6081.92</v>
      </c>
      <c r="D1139" t="n">
        <v>7</v>
      </c>
    </row>
    <row r="1140">
      <c r="A1140" t="n">
        <v>2025</v>
      </c>
      <c r="B1140" t="n">
        <v>3</v>
      </c>
      <c r="C1140" s="24" t="n">
        <v>9780.379999999999</v>
      </c>
      <c r="D1140" t="n">
        <v>8</v>
      </c>
    </row>
    <row r="1141">
      <c r="A1141" t="n">
        <v>2025</v>
      </c>
      <c r="B1141" t="n">
        <v>3</v>
      </c>
      <c r="C1141" s="24" t="n">
        <v>322.5</v>
      </c>
      <c r="D1141" t="n">
        <v>9</v>
      </c>
    </row>
    <row r="1142">
      <c r="A1142" t="n">
        <v>2025</v>
      </c>
      <c r="B1142" t="n">
        <v>3</v>
      </c>
      <c r="C1142" s="24" t="n">
        <v>735.9</v>
      </c>
      <c r="D1142" t="n">
        <v>10</v>
      </c>
    </row>
    <row r="1143">
      <c r="A1143" t="n">
        <v>2025</v>
      </c>
      <c r="B1143" t="n">
        <v>3</v>
      </c>
      <c r="C1143" s="24" t="n">
        <v>3968.81</v>
      </c>
      <c r="D1143" t="n">
        <v>11</v>
      </c>
    </row>
    <row r="1144">
      <c r="A1144" t="n">
        <v>2025</v>
      </c>
      <c r="B1144" t="n">
        <v>3</v>
      </c>
      <c r="C1144" s="24" t="n">
        <v>4656.15</v>
      </c>
      <c r="D1144" t="n">
        <v>12</v>
      </c>
    </row>
    <row r="1145">
      <c r="A1145" t="n">
        <v>2025</v>
      </c>
      <c r="B1145" t="n">
        <v>3</v>
      </c>
      <c r="C1145" s="24" t="n">
        <v>1324.34</v>
      </c>
      <c r="D1145" t="n">
        <v>13</v>
      </c>
    </row>
    <row r="1146">
      <c r="A1146" t="n">
        <v>2025</v>
      </c>
      <c r="B1146" t="n">
        <v>3</v>
      </c>
      <c r="C1146" s="24" t="n">
        <v>7757.8</v>
      </c>
      <c r="D1146" t="n">
        <v>14</v>
      </c>
    </row>
    <row r="1147">
      <c r="A1147" t="n">
        <v>2025</v>
      </c>
      <c r="B1147" t="n">
        <v>3</v>
      </c>
      <c r="C1147" s="24" t="n">
        <v>2688.11</v>
      </c>
      <c r="D1147" t="n">
        <v>15</v>
      </c>
    </row>
    <row r="1148">
      <c r="A1148" t="n">
        <v>2025</v>
      </c>
      <c r="B1148" t="n">
        <v>3</v>
      </c>
      <c r="C1148" s="24" t="n">
        <v>1367.03</v>
      </c>
      <c r="D1148" t="n">
        <v>16</v>
      </c>
    </row>
    <row r="1149">
      <c r="A1149" t="n">
        <v>2025</v>
      </c>
      <c r="B1149" t="n">
        <v>3</v>
      </c>
      <c r="C1149" s="24" t="n">
        <v>2642.97</v>
      </c>
      <c r="D1149" t="n">
        <v>17</v>
      </c>
    </row>
    <row r="1150">
      <c r="A1150" t="n">
        <v>2025</v>
      </c>
      <c r="B1150" t="n">
        <v>3</v>
      </c>
      <c r="C1150" s="24" t="n">
        <v>1857.28</v>
      </c>
      <c r="D1150" t="n">
        <v>18</v>
      </c>
    </row>
    <row r="1151">
      <c r="A1151" t="n">
        <v>2025</v>
      </c>
      <c r="B1151" t="n">
        <v>3</v>
      </c>
      <c r="C1151" s="24" t="n">
        <v>335.16</v>
      </c>
      <c r="D1151" t="n">
        <v>19</v>
      </c>
    </row>
    <row r="1152">
      <c r="A1152" t="n">
        <v>2025</v>
      </c>
      <c r="B1152" t="n">
        <v>3</v>
      </c>
      <c r="C1152" s="24" t="n">
        <v>8152.5</v>
      </c>
      <c r="D1152" t="n">
        <v>20</v>
      </c>
    </row>
    <row r="1153">
      <c r="A1153" t="n">
        <v>2025</v>
      </c>
      <c r="B1153" t="n">
        <v>3</v>
      </c>
      <c r="C1153" s="24" t="n">
        <v>4286.18</v>
      </c>
      <c r="D1153" t="n">
        <v>21</v>
      </c>
    </row>
    <row r="1154">
      <c r="A1154" t="n">
        <v>2025</v>
      </c>
      <c r="B1154" t="n">
        <v>3</v>
      </c>
      <c r="C1154" s="24" t="n">
        <v>2891.33</v>
      </c>
      <c r="D1154" t="n">
        <v>22</v>
      </c>
    </row>
    <row r="1155">
      <c r="A1155" t="n">
        <v>2025</v>
      </c>
      <c r="B1155" t="n">
        <v>3</v>
      </c>
      <c r="C1155" s="24" t="n">
        <v>1363.99</v>
      </c>
      <c r="D1155" t="n">
        <v>23</v>
      </c>
    </row>
    <row r="1156">
      <c r="A1156" t="n">
        <v>2025</v>
      </c>
      <c r="B1156" t="n">
        <v>3</v>
      </c>
      <c r="C1156" s="24" t="n">
        <v>1069.5</v>
      </c>
      <c r="D1156" t="n">
        <v>25</v>
      </c>
    </row>
    <row r="1157">
      <c r="A1157" t="n">
        <v>2025</v>
      </c>
      <c r="B1157" t="n">
        <v>3</v>
      </c>
      <c r="C1157" s="24" t="n">
        <v>4069.78</v>
      </c>
      <c r="D1157" t="n">
        <v>26</v>
      </c>
    </row>
    <row r="1158">
      <c r="A1158" t="n">
        <v>2025</v>
      </c>
      <c r="B1158" t="n">
        <v>3</v>
      </c>
      <c r="C1158" s="24" t="n">
        <v>5381.06</v>
      </c>
      <c r="D1158" t="n">
        <v>27</v>
      </c>
    </row>
    <row r="1159">
      <c r="A1159" t="n">
        <v>2025</v>
      </c>
      <c r="B1159" t="n">
        <v>3</v>
      </c>
      <c r="C1159" s="24" t="n">
        <v>4846.9</v>
      </c>
      <c r="D1159" t="n">
        <v>28</v>
      </c>
    </row>
    <row r="1160">
      <c r="A1160" t="n">
        <v>2025</v>
      </c>
      <c r="B1160" t="n">
        <v>3</v>
      </c>
      <c r="C1160" s="24" t="n">
        <v>3905.64</v>
      </c>
      <c r="D1160" t="n">
        <v>29</v>
      </c>
    </row>
    <row r="1161">
      <c r="A1161" t="n">
        <v>2025</v>
      </c>
      <c r="B1161" t="n">
        <v>3</v>
      </c>
      <c r="C1161" s="24" t="n">
        <v>2016.22</v>
      </c>
      <c r="D1161" t="n">
        <v>30</v>
      </c>
    </row>
    <row r="1162">
      <c r="A1162" t="n">
        <v>2025</v>
      </c>
      <c r="B1162" t="n">
        <v>3</v>
      </c>
      <c r="C1162" s="24" t="n">
        <v>6520.71</v>
      </c>
      <c r="D1162" t="n">
        <v>31</v>
      </c>
    </row>
    <row r="1163">
      <c r="A1163" t="n">
        <v>2025</v>
      </c>
      <c r="B1163" t="n">
        <v>4</v>
      </c>
      <c r="C1163" s="24" t="n">
        <v>123.4</v>
      </c>
      <c r="D1163" t="n">
        <v>1</v>
      </c>
    </row>
    <row r="1164">
      <c r="A1164" t="n">
        <v>2025</v>
      </c>
      <c r="B1164" t="n">
        <v>4</v>
      </c>
      <c r="C1164" s="24" t="n">
        <v>3694.93</v>
      </c>
      <c r="D1164" t="n">
        <v>2</v>
      </c>
    </row>
    <row r="1165">
      <c r="A1165" t="n">
        <v>2025</v>
      </c>
      <c r="B1165" t="n">
        <v>4</v>
      </c>
      <c r="C1165" s="24" t="n">
        <v>3506.07</v>
      </c>
      <c r="D1165" t="n">
        <v>3</v>
      </c>
    </row>
    <row r="1166">
      <c r="A1166" t="n">
        <v>2025</v>
      </c>
      <c r="B1166" t="n">
        <v>4</v>
      </c>
      <c r="C1166" s="24" t="n">
        <v>4773.05</v>
      </c>
      <c r="D1166" t="n">
        <v>4</v>
      </c>
    </row>
    <row r="1167">
      <c r="A1167" t="n">
        <v>2025</v>
      </c>
      <c r="B1167" t="n">
        <v>4</v>
      </c>
      <c r="C1167" s="24" t="n">
        <v>1658.19</v>
      </c>
      <c r="D1167" t="n">
        <v>5</v>
      </c>
    </row>
    <row r="1168">
      <c r="A1168" t="n">
        <v>2025</v>
      </c>
      <c r="B1168" t="n">
        <v>4</v>
      </c>
      <c r="C1168" s="24" t="n">
        <v>527.12</v>
      </c>
      <c r="D1168" t="n">
        <v>7</v>
      </c>
    </row>
    <row r="1169">
      <c r="A1169" t="n">
        <v>2025</v>
      </c>
      <c r="B1169" t="n">
        <v>4</v>
      </c>
      <c r="C1169" s="24" t="n">
        <v>2391.77</v>
      </c>
      <c r="D1169" t="n">
        <v>9</v>
      </c>
    </row>
    <row r="1170">
      <c r="A1170" t="n">
        <v>2025</v>
      </c>
      <c r="B1170" t="n">
        <v>4</v>
      </c>
      <c r="C1170" s="24" t="n">
        <v>11486.8</v>
      </c>
      <c r="D1170" t="n">
        <v>10</v>
      </c>
    </row>
    <row r="1171">
      <c r="A1171" t="n">
        <v>2025</v>
      </c>
      <c r="B1171" t="n">
        <v>4</v>
      </c>
      <c r="C1171" s="24" t="n">
        <v>2634.39</v>
      </c>
      <c r="D1171" t="n">
        <v>11</v>
      </c>
    </row>
    <row r="1172">
      <c r="A1172" t="n">
        <v>2025</v>
      </c>
      <c r="B1172" t="n">
        <v>4</v>
      </c>
      <c r="C1172" s="24" t="n">
        <v>5977.09</v>
      </c>
      <c r="D1172" t="n">
        <v>12</v>
      </c>
    </row>
    <row r="1173">
      <c r="A1173" t="n">
        <v>2025</v>
      </c>
      <c r="B1173" t="n">
        <v>4</v>
      </c>
      <c r="C1173" s="24" t="n">
        <v>5087.32</v>
      </c>
      <c r="D1173" t="n">
        <v>13</v>
      </c>
    </row>
    <row r="1174">
      <c r="A1174" t="n">
        <v>2025</v>
      </c>
      <c r="B1174" t="n">
        <v>4</v>
      </c>
      <c r="C1174" s="24" t="n">
        <v>3796.39</v>
      </c>
      <c r="D1174" t="n">
        <v>14</v>
      </c>
    </row>
    <row r="1175">
      <c r="A1175" t="n">
        <v>2025</v>
      </c>
      <c r="B1175" t="n">
        <v>4</v>
      </c>
      <c r="C1175" s="24" t="n">
        <v>5101.76</v>
      </c>
      <c r="D1175" t="n">
        <v>15</v>
      </c>
    </row>
    <row r="1176">
      <c r="A1176" t="n">
        <v>2025</v>
      </c>
      <c r="B1176" t="n">
        <v>4</v>
      </c>
      <c r="C1176" s="24" t="n">
        <v>3291.58</v>
      </c>
      <c r="D1176" t="n">
        <v>16</v>
      </c>
    </row>
    <row r="1177">
      <c r="A1177" t="n">
        <v>2025</v>
      </c>
      <c r="B1177" t="n">
        <v>4</v>
      </c>
      <c r="C1177" s="24" t="n">
        <v>63.6</v>
      </c>
      <c r="D1177" t="n">
        <v>17</v>
      </c>
    </row>
    <row r="1178">
      <c r="A1178" t="n">
        <v>2025</v>
      </c>
      <c r="B1178" t="n">
        <v>4</v>
      </c>
      <c r="C1178" s="24" t="n">
        <v>1425.26</v>
      </c>
      <c r="D1178" t="n">
        <v>18</v>
      </c>
    </row>
    <row r="1179">
      <c r="A1179" t="n">
        <v>2025</v>
      </c>
      <c r="B1179" t="n">
        <v>4</v>
      </c>
      <c r="C1179" s="24" t="n">
        <v>67.65000000000001</v>
      </c>
      <c r="D1179" t="n">
        <v>19</v>
      </c>
    </row>
    <row r="1180">
      <c r="A1180" t="n">
        <v>2025</v>
      </c>
      <c r="B1180" t="n">
        <v>4</v>
      </c>
      <c r="C1180" s="24" t="n">
        <v>371.52</v>
      </c>
      <c r="D1180" t="n">
        <v>20</v>
      </c>
    </row>
    <row r="1181">
      <c r="A1181" t="n">
        <v>2025</v>
      </c>
      <c r="B1181" t="n">
        <v>4</v>
      </c>
      <c r="C1181" s="24" t="n">
        <v>3493.81</v>
      </c>
      <c r="D1181" t="n">
        <v>21</v>
      </c>
    </row>
    <row r="1182">
      <c r="A1182" t="n">
        <v>2025</v>
      </c>
      <c r="B1182" t="n">
        <v>4</v>
      </c>
      <c r="C1182" s="24" t="n">
        <v>7084.86</v>
      </c>
      <c r="D1182" t="n">
        <v>22</v>
      </c>
    </row>
    <row r="1183">
      <c r="A1183" t="n">
        <v>2025</v>
      </c>
      <c r="B1183" t="n">
        <v>4</v>
      </c>
      <c r="C1183" s="24" t="n">
        <v>384.4</v>
      </c>
      <c r="D1183" t="n">
        <v>23</v>
      </c>
    </row>
    <row r="1184">
      <c r="A1184" t="n">
        <v>2025</v>
      </c>
      <c r="B1184" t="n">
        <v>4</v>
      </c>
      <c r="C1184" s="24" t="n">
        <v>6388.45</v>
      </c>
      <c r="D1184" t="n">
        <v>24</v>
      </c>
    </row>
    <row r="1185">
      <c r="A1185" t="n">
        <v>2025</v>
      </c>
      <c r="B1185" t="n">
        <v>4</v>
      </c>
      <c r="C1185" s="24" t="n">
        <v>4229.74</v>
      </c>
      <c r="D1185" t="n">
        <v>25</v>
      </c>
    </row>
    <row r="1186">
      <c r="A1186" t="n">
        <v>2025</v>
      </c>
      <c r="B1186" t="n">
        <v>4</v>
      </c>
      <c r="C1186" s="24" t="n">
        <v>8659.35</v>
      </c>
      <c r="D1186" t="n">
        <v>26</v>
      </c>
    </row>
    <row r="1187">
      <c r="A1187" t="n">
        <v>2025</v>
      </c>
      <c r="B1187" t="n">
        <v>4</v>
      </c>
      <c r="C1187" s="24" t="n">
        <v>508.79</v>
      </c>
      <c r="D1187" t="n">
        <v>27</v>
      </c>
    </row>
    <row r="1188">
      <c r="A1188" t="n">
        <v>2025</v>
      </c>
      <c r="B1188" t="n">
        <v>4</v>
      </c>
      <c r="C1188" s="24" t="n">
        <v>558.25</v>
      </c>
      <c r="D1188" t="n">
        <v>28</v>
      </c>
    </row>
    <row r="1189">
      <c r="A1189" t="n">
        <v>2025</v>
      </c>
      <c r="B1189" t="n">
        <v>4</v>
      </c>
      <c r="C1189" s="24" t="n">
        <v>5844.71</v>
      </c>
      <c r="D1189" t="n">
        <v>29</v>
      </c>
    </row>
    <row r="1190">
      <c r="A1190" t="n">
        <v>2025</v>
      </c>
      <c r="B1190" t="n">
        <v>4</v>
      </c>
      <c r="C1190" s="24" t="n">
        <v>1587</v>
      </c>
      <c r="D1190" t="n">
        <v>30</v>
      </c>
    </row>
    <row r="1191">
      <c r="A1191" t="n">
        <v>2025</v>
      </c>
      <c r="B1191" t="n">
        <v>5</v>
      </c>
      <c r="C1191" s="24" t="n">
        <v>13209.14</v>
      </c>
      <c r="D1191" t="n">
        <v>1</v>
      </c>
    </row>
    <row r="1192">
      <c r="A1192" t="n">
        <v>2025</v>
      </c>
      <c r="B1192" t="n">
        <v>5</v>
      </c>
      <c r="C1192" s="24" t="n">
        <v>7284.440000000001</v>
      </c>
      <c r="D1192" t="n">
        <v>2</v>
      </c>
    </row>
    <row r="1193">
      <c r="A1193" t="n">
        <v>2025</v>
      </c>
      <c r="B1193" t="n">
        <v>5</v>
      </c>
      <c r="C1193" s="24" t="n">
        <v>3264.01</v>
      </c>
      <c r="D1193" t="n">
        <v>3</v>
      </c>
    </row>
    <row r="1194">
      <c r="A1194" t="n">
        <v>2025</v>
      </c>
      <c r="B1194" t="n">
        <v>5</v>
      </c>
      <c r="C1194" s="24" t="n">
        <v>11191.09</v>
      </c>
      <c r="D1194" t="n">
        <v>4</v>
      </c>
    </row>
    <row r="1195">
      <c r="A1195" t="n">
        <v>2025</v>
      </c>
      <c r="B1195" t="n">
        <v>5</v>
      </c>
      <c r="C1195" s="24" t="n">
        <v>4972.88</v>
      </c>
      <c r="D1195" t="n">
        <v>5</v>
      </c>
    </row>
    <row r="1196">
      <c r="A1196" t="n">
        <v>2025</v>
      </c>
      <c r="B1196" t="n">
        <v>5</v>
      </c>
      <c r="C1196" s="24" t="n">
        <v>2263.54</v>
      </c>
      <c r="D1196" t="n">
        <v>6</v>
      </c>
    </row>
    <row r="1197">
      <c r="A1197" t="n">
        <v>2025</v>
      </c>
      <c r="B1197" t="n">
        <v>5</v>
      </c>
      <c r="C1197" s="24" t="n">
        <v>4005.1</v>
      </c>
      <c r="D1197" t="n">
        <v>7</v>
      </c>
    </row>
    <row r="1198">
      <c r="A1198" t="n">
        <v>2025</v>
      </c>
      <c r="B1198" t="n">
        <v>5</v>
      </c>
      <c r="C1198" s="24" t="n">
        <v>962.55</v>
      </c>
      <c r="D1198" t="n">
        <v>8</v>
      </c>
    </row>
    <row r="1199">
      <c r="A1199" t="n">
        <v>2025</v>
      </c>
      <c r="B1199" t="n">
        <v>5</v>
      </c>
      <c r="C1199" s="24" t="n">
        <v>159.4</v>
      </c>
      <c r="D1199" t="n">
        <v>9</v>
      </c>
    </row>
    <row r="1200">
      <c r="A1200" t="n">
        <v>2025</v>
      </c>
      <c r="B1200" t="n">
        <v>5</v>
      </c>
      <c r="C1200" s="24" t="n">
        <v>313.56</v>
      </c>
      <c r="D1200" t="n">
        <v>10</v>
      </c>
    </row>
    <row r="1201">
      <c r="A1201" t="n">
        <v>2025</v>
      </c>
      <c r="B1201" t="n">
        <v>5</v>
      </c>
      <c r="C1201" s="24" t="n">
        <v>6767.9</v>
      </c>
      <c r="D1201" t="n">
        <v>11</v>
      </c>
    </row>
    <row r="1202">
      <c r="A1202" t="n">
        <v>2025</v>
      </c>
      <c r="B1202" t="n">
        <v>5</v>
      </c>
      <c r="C1202" s="24" t="n">
        <v>7912.559999999999</v>
      </c>
      <c r="D1202" t="n">
        <v>12</v>
      </c>
    </row>
    <row r="1203">
      <c r="A1203" t="n">
        <v>2025</v>
      </c>
      <c r="B1203" t="n">
        <v>5</v>
      </c>
      <c r="C1203" s="24" t="n">
        <v>4117.67</v>
      </c>
      <c r="D1203" t="n">
        <v>13</v>
      </c>
    </row>
    <row r="1204">
      <c r="A1204" t="n">
        <v>2025</v>
      </c>
      <c r="B1204" t="n">
        <v>5</v>
      </c>
      <c r="C1204" s="24" t="n">
        <v>2497.33</v>
      </c>
      <c r="D1204" t="n">
        <v>14</v>
      </c>
    </row>
    <row r="1205">
      <c r="A1205" t="n">
        <v>2025</v>
      </c>
      <c r="B1205" t="n">
        <v>5</v>
      </c>
      <c r="C1205" s="24" t="n">
        <v>4390.33</v>
      </c>
      <c r="D1205" t="n">
        <v>15</v>
      </c>
    </row>
    <row r="1206">
      <c r="A1206" t="n">
        <v>2025</v>
      </c>
      <c r="B1206" t="n">
        <v>5</v>
      </c>
      <c r="C1206" s="24" t="n">
        <v>3827.53</v>
      </c>
      <c r="D1206" t="n">
        <v>16</v>
      </c>
    </row>
    <row r="1207">
      <c r="A1207" t="n">
        <v>2025</v>
      </c>
      <c r="B1207" t="n">
        <v>5</v>
      </c>
      <c r="C1207" s="24" t="n">
        <v>4123.84</v>
      </c>
      <c r="D1207" t="n">
        <v>17</v>
      </c>
    </row>
    <row r="1208">
      <c r="A1208" t="n">
        <v>2025</v>
      </c>
      <c r="B1208" t="n">
        <v>5</v>
      </c>
      <c r="C1208" s="24" t="n">
        <v>6572.440000000001</v>
      </c>
      <c r="D1208" t="n">
        <v>18</v>
      </c>
    </row>
    <row r="1209">
      <c r="A1209" t="n">
        <v>2025</v>
      </c>
      <c r="B1209" t="n">
        <v>5</v>
      </c>
      <c r="C1209" s="24" t="n">
        <v>6102.98</v>
      </c>
      <c r="D1209" t="n">
        <v>19</v>
      </c>
    </row>
    <row r="1210">
      <c r="A1210" t="n">
        <v>2025</v>
      </c>
      <c r="B1210" t="n">
        <v>5</v>
      </c>
      <c r="C1210" s="24" t="n">
        <v>917.24</v>
      </c>
      <c r="D1210" t="n">
        <v>20</v>
      </c>
    </row>
    <row r="1211">
      <c r="A1211" t="n">
        <v>2025</v>
      </c>
      <c r="B1211" t="n">
        <v>5</v>
      </c>
      <c r="C1211" s="24" t="n">
        <v>11129.53</v>
      </c>
      <c r="D1211" t="n">
        <v>21</v>
      </c>
    </row>
    <row r="1212">
      <c r="A1212" t="n">
        <v>2025</v>
      </c>
      <c r="B1212" t="n">
        <v>5</v>
      </c>
      <c r="C1212" s="24" t="n">
        <v>2476.7</v>
      </c>
      <c r="D1212" t="n">
        <v>22</v>
      </c>
    </row>
    <row r="1213">
      <c r="A1213" t="n">
        <v>2025</v>
      </c>
      <c r="B1213" t="n">
        <v>5</v>
      </c>
      <c r="C1213" s="24" t="n">
        <v>1001.56</v>
      </c>
      <c r="D1213" t="n">
        <v>23</v>
      </c>
    </row>
    <row r="1214">
      <c r="A1214" t="n">
        <v>2025</v>
      </c>
      <c r="B1214" t="n">
        <v>5</v>
      </c>
      <c r="C1214" s="24" t="n">
        <v>609.96</v>
      </c>
      <c r="D1214" t="n">
        <v>24</v>
      </c>
    </row>
    <row r="1215">
      <c r="A1215" t="n">
        <v>2025</v>
      </c>
      <c r="B1215" t="n">
        <v>5</v>
      </c>
      <c r="C1215" s="24" t="n">
        <v>3585.49</v>
      </c>
      <c r="D1215" t="n">
        <v>25</v>
      </c>
    </row>
    <row r="1216">
      <c r="A1216" t="n">
        <v>2025</v>
      </c>
      <c r="B1216" t="n">
        <v>5</v>
      </c>
      <c r="C1216" s="24" t="n">
        <v>279.72</v>
      </c>
      <c r="D1216" t="n">
        <v>26</v>
      </c>
    </row>
    <row r="1217">
      <c r="A1217" t="n">
        <v>2025</v>
      </c>
      <c r="B1217" t="n">
        <v>5</v>
      </c>
      <c r="C1217" s="24" t="n">
        <v>3441.05</v>
      </c>
      <c r="D1217" t="n">
        <v>27</v>
      </c>
    </row>
    <row r="1218">
      <c r="A1218" t="n">
        <v>2025</v>
      </c>
      <c r="B1218" t="n">
        <v>5</v>
      </c>
      <c r="C1218" s="24" t="n">
        <v>2897.09</v>
      </c>
      <c r="D1218" t="n">
        <v>28</v>
      </c>
    </row>
    <row r="1219">
      <c r="A1219" t="n">
        <v>2025</v>
      </c>
      <c r="B1219" t="n">
        <v>5</v>
      </c>
      <c r="C1219" s="24" t="n">
        <v>1016.23</v>
      </c>
      <c r="D1219" t="n">
        <v>29</v>
      </c>
    </row>
    <row r="1220">
      <c r="A1220" t="n">
        <v>2025</v>
      </c>
      <c r="B1220" t="n">
        <v>5</v>
      </c>
      <c r="C1220" s="24" t="n">
        <v>3128.38</v>
      </c>
      <c r="D1220" t="n">
        <v>30</v>
      </c>
    </row>
    <row r="1221">
      <c r="A1221" t="n">
        <v>2025</v>
      </c>
      <c r="B1221" t="n">
        <v>5</v>
      </c>
      <c r="C1221" s="24" t="n">
        <v>2509.07</v>
      </c>
      <c r="D1221" t="n">
        <v>31</v>
      </c>
    </row>
    <row r="1222">
      <c r="A1222" t="n">
        <v>2025</v>
      </c>
      <c r="B1222" t="n">
        <v>6</v>
      </c>
      <c r="C1222" s="24" t="n">
        <v>3284.85</v>
      </c>
      <c r="D1222" t="n">
        <v>1</v>
      </c>
    </row>
    <row r="1223">
      <c r="A1223" t="n">
        <v>2025</v>
      </c>
      <c r="B1223" t="n">
        <v>6</v>
      </c>
      <c r="C1223" s="24" t="n">
        <v>6132.82</v>
      </c>
      <c r="D1223" t="n">
        <v>2</v>
      </c>
    </row>
    <row r="1224">
      <c r="A1224" t="n">
        <v>2025</v>
      </c>
      <c r="B1224" t="n">
        <v>6</v>
      </c>
      <c r="C1224" s="24" t="n">
        <v>10783.56</v>
      </c>
      <c r="D1224" t="n">
        <v>3</v>
      </c>
    </row>
    <row r="1225">
      <c r="A1225" t="n">
        <v>2025</v>
      </c>
      <c r="B1225" t="n">
        <v>6</v>
      </c>
      <c r="C1225" s="24" t="n">
        <v>3573.34</v>
      </c>
      <c r="D1225" t="n">
        <v>4</v>
      </c>
    </row>
    <row r="1226">
      <c r="A1226" t="n">
        <v>2025</v>
      </c>
      <c r="B1226" t="n">
        <v>6</v>
      </c>
      <c r="C1226" s="24" t="n">
        <v>3945.92</v>
      </c>
      <c r="D1226" t="n">
        <v>5</v>
      </c>
    </row>
    <row r="1227">
      <c r="A1227" t="n">
        <v>2025</v>
      </c>
      <c r="B1227" t="n">
        <v>6</v>
      </c>
      <c r="C1227" s="24" t="n">
        <v>3952.96</v>
      </c>
      <c r="D1227" t="n">
        <v>6</v>
      </c>
    </row>
    <row r="1228">
      <c r="A1228" t="n">
        <v>2025</v>
      </c>
      <c r="B1228" t="n">
        <v>6</v>
      </c>
      <c r="C1228" s="24" t="n">
        <v>641.79</v>
      </c>
      <c r="D1228" t="n">
        <v>7</v>
      </c>
    </row>
    <row r="1229">
      <c r="A1229" t="n">
        <v>2025</v>
      </c>
      <c r="B1229" t="n">
        <v>6</v>
      </c>
      <c r="C1229" s="24" t="n">
        <v>8522.58</v>
      </c>
      <c r="D1229" t="n">
        <v>8</v>
      </c>
    </row>
    <row r="1230">
      <c r="A1230" t="n">
        <v>2025</v>
      </c>
      <c r="B1230" t="n">
        <v>6</v>
      </c>
      <c r="C1230" s="24" t="n">
        <v>2080.14</v>
      </c>
      <c r="D1230" t="n">
        <v>9</v>
      </c>
    </row>
    <row r="1231">
      <c r="A1231" t="n">
        <v>2025</v>
      </c>
      <c r="B1231" t="n">
        <v>6</v>
      </c>
      <c r="C1231" s="24" t="n">
        <v>9323.68</v>
      </c>
      <c r="D1231" t="n">
        <v>10</v>
      </c>
    </row>
    <row r="1232">
      <c r="A1232" t="n">
        <v>2025</v>
      </c>
      <c r="B1232" t="n">
        <v>6</v>
      </c>
      <c r="C1232" s="24" t="n">
        <v>7037.349999999999</v>
      </c>
      <c r="D1232" t="n">
        <v>11</v>
      </c>
    </row>
    <row r="1233">
      <c r="A1233" t="n">
        <v>2025</v>
      </c>
      <c r="B1233" t="n">
        <v>6</v>
      </c>
      <c r="C1233" s="24" t="n">
        <v>3719.29</v>
      </c>
      <c r="D1233" t="n">
        <v>12</v>
      </c>
    </row>
    <row r="1234">
      <c r="A1234" t="n">
        <v>2025</v>
      </c>
      <c r="B1234" t="n">
        <v>6</v>
      </c>
      <c r="C1234" s="24" t="n">
        <v>4617.47</v>
      </c>
      <c r="D1234" t="n">
        <v>13</v>
      </c>
    </row>
    <row r="1235">
      <c r="A1235" t="n">
        <v>2025</v>
      </c>
      <c r="B1235" t="n">
        <v>6</v>
      </c>
      <c r="C1235" s="24" t="n">
        <v>9001.48</v>
      </c>
      <c r="D1235" t="n">
        <v>14</v>
      </c>
    </row>
    <row r="1236">
      <c r="A1236" t="n">
        <v>2025</v>
      </c>
      <c r="B1236" t="n">
        <v>6</v>
      </c>
      <c r="C1236" s="24" t="n">
        <v>2029</v>
      </c>
      <c r="D1236" t="n">
        <v>15</v>
      </c>
    </row>
    <row r="1237">
      <c r="A1237" t="n">
        <v>2025</v>
      </c>
      <c r="B1237" t="n">
        <v>6</v>
      </c>
      <c r="C1237" s="24" t="n">
        <v>6637.559999999999</v>
      </c>
      <c r="D1237" t="n">
        <v>16</v>
      </c>
    </row>
    <row r="1238">
      <c r="A1238" t="n">
        <v>2025</v>
      </c>
      <c r="B1238" t="n">
        <v>6</v>
      </c>
      <c r="C1238" s="24" t="n">
        <v>4117.78</v>
      </c>
      <c r="D1238" t="n">
        <v>17</v>
      </c>
    </row>
    <row r="1239">
      <c r="A1239" t="n">
        <v>2025</v>
      </c>
      <c r="B1239" t="n">
        <v>6</v>
      </c>
      <c r="C1239" s="24" t="n">
        <v>3682.06</v>
      </c>
      <c r="D1239" t="n">
        <v>18</v>
      </c>
    </row>
    <row r="1240">
      <c r="A1240" t="n">
        <v>2025</v>
      </c>
      <c r="B1240" t="n">
        <v>6</v>
      </c>
      <c r="C1240" s="24" t="n">
        <v>3145.28</v>
      </c>
      <c r="D1240" t="n">
        <v>19</v>
      </c>
    </row>
    <row r="1241">
      <c r="A1241" t="n">
        <v>2025</v>
      </c>
      <c r="B1241" t="n">
        <v>6</v>
      </c>
      <c r="C1241" s="24" t="n">
        <v>4501.28</v>
      </c>
      <c r="D1241" t="n">
        <v>20</v>
      </c>
    </row>
    <row r="1242">
      <c r="A1242" t="n">
        <v>2025</v>
      </c>
      <c r="B1242" t="n">
        <v>6</v>
      </c>
      <c r="C1242" s="24" t="n">
        <v>4253.98</v>
      </c>
      <c r="D1242" t="n">
        <v>21</v>
      </c>
    </row>
    <row r="1243">
      <c r="A1243" t="n">
        <v>2025</v>
      </c>
      <c r="B1243" t="n">
        <v>6</v>
      </c>
      <c r="C1243" s="24" t="n">
        <v>5493.48</v>
      </c>
      <c r="D1243" t="n">
        <v>22</v>
      </c>
    </row>
    <row r="1244">
      <c r="A1244" t="n">
        <v>2025</v>
      </c>
      <c r="B1244" t="n">
        <v>6</v>
      </c>
      <c r="C1244" s="24" t="n">
        <v>5616.3</v>
      </c>
      <c r="D1244" t="n">
        <v>23</v>
      </c>
    </row>
    <row r="1245">
      <c r="A1245" t="n">
        <v>2025</v>
      </c>
      <c r="B1245" t="n">
        <v>6</v>
      </c>
      <c r="C1245" s="24" t="n">
        <v>5360.86</v>
      </c>
      <c r="D1245" t="n">
        <v>24</v>
      </c>
    </row>
    <row r="1246">
      <c r="A1246" t="n">
        <v>2025</v>
      </c>
      <c r="B1246" t="n">
        <v>6</v>
      </c>
      <c r="C1246" s="24" t="n">
        <v>8949.5</v>
      </c>
      <c r="D1246" t="n">
        <v>25</v>
      </c>
    </row>
    <row r="1247">
      <c r="A1247" t="n">
        <v>2025</v>
      </c>
      <c r="B1247" t="n">
        <v>6</v>
      </c>
      <c r="C1247" s="24" t="n">
        <v>7103.48</v>
      </c>
      <c r="D1247" t="n">
        <v>26</v>
      </c>
    </row>
    <row r="1248">
      <c r="A1248" t="n">
        <v>2025</v>
      </c>
      <c r="B1248" t="n">
        <v>6</v>
      </c>
      <c r="C1248" s="24" t="n">
        <v>5595.89</v>
      </c>
      <c r="D1248" t="n">
        <v>27</v>
      </c>
    </row>
    <row r="1249">
      <c r="A1249" t="n">
        <v>2025</v>
      </c>
      <c r="B1249" t="n">
        <v>6</v>
      </c>
      <c r="C1249" s="24" t="n">
        <v>6090.96</v>
      </c>
      <c r="D1249" t="n">
        <v>28</v>
      </c>
    </row>
    <row r="1250">
      <c r="A1250" t="n">
        <v>2025</v>
      </c>
      <c r="B1250" t="n">
        <v>6</v>
      </c>
      <c r="C1250" s="24" t="n">
        <v>2913.01</v>
      </c>
      <c r="D1250" t="n">
        <v>29</v>
      </c>
    </row>
  </sheetData>
  <mergeCells count="2">
    <mergeCell ref="B2:F2"/>
    <mergeCell ref="B48:H4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76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>
      <c r="B2" s="10" t="inlineStr">
        <is>
          <t>Same Period Last Year (SPLY) — YoY Comparisons</t>
        </is>
      </c>
    </row>
    <row r="4">
      <c r="B4" s="5" t="inlineStr">
        <is>
          <t>By Year</t>
        </is>
      </c>
    </row>
    <row r="5">
      <c r="B5" s="14" t="inlineStr">
        <is>
          <t>Year</t>
        </is>
      </c>
      <c r="C5" s="14" t="inlineStr">
        <is>
          <t>Sales $</t>
        </is>
      </c>
      <c r="D5" s="14" t="inlineStr">
        <is>
          <t>Prior Year (SPLY)</t>
        </is>
      </c>
      <c r="E5" s="14" t="inlineStr">
        <is>
          <t>YoY $</t>
        </is>
      </c>
      <c r="F5" s="14" t="inlineStr">
        <is>
          <t>YoY %</t>
        </is>
      </c>
    </row>
    <row r="6">
      <c r="B6" s="18" t="n">
        <v>2022</v>
      </c>
      <c r="C6" s="16" t="n">
        <v>968020.37</v>
      </c>
      <c r="D6" s="18" t="n"/>
      <c r="E6" s="18" t="n"/>
      <c r="F6" s="18" t="n"/>
    </row>
    <row r="7">
      <c r="B7" s="18" t="n">
        <v>2023</v>
      </c>
      <c r="C7" s="16" t="n">
        <v>1181029.03</v>
      </c>
      <c r="D7" s="25">
        <f>C6</f>
        <v/>
      </c>
      <c r="E7" s="25">
        <f>C7-D7</f>
        <v/>
      </c>
      <c r="F7" s="26">
        <f>IF(D7=0,NA(),C7/D7-1)</f>
        <v/>
      </c>
    </row>
    <row r="8">
      <c r="B8" s="18" t="n">
        <v>2024</v>
      </c>
      <c r="C8" s="16" t="n">
        <v>1203220.24</v>
      </c>
      <c r="D8" s="25">
        <f>C7</f>
        <v/>
      </c>
      <c r="E8" s="25">
        <f>C8-D8</f>
        <v/>
      </c>
      <c r="F8" s="26">
        <f>IF(D8=0,NA(),C8/D8-1)</f>
        <v/>
      </c>
    </row>
    <row r="9">
      <c r="B9" s="18" t="n">
        <v>2025</v>
      </c>
      <c r="C9" s="16" t="n">
        <v>659053.91</v>
      </c>
      <c r="D9" s="25">
        <f>C8</f>
        <v/>
      </c>
      <c r="E9" s="25">
        <f>C9-D9</f>
        <v/>
      </c>
      <c r="F9" s="26">
        <f>IF(D9=0,NA(),C9/D9-1)</f>
        <v/>
      </c>
    </row>
    <row r="12">
      <c r="B12" s="5" t="inlineStr">
        <is>
          <t>By Year-Quarter</t>
        </is>
      </c>
    </row>
    <row r="13">
      <c r="B13" s="14" t="inlineStr">
        <is>
          <t>Year</t>
        </is>
      </c>
      <c r="C13" s="14" t="inlineStr">
        <is>
          <t>Quarter</t>
        </is>
      </c>
      <c r="D13" s="14" t="inlineStr">
        <is>
          <t>Sales $</t>
        </is>
      </c>
      <c r="E13" s="14" t="inlineStr">
        <is>
          <t>SPLY $</t>
        </is>
      </c>
      <c r="F13" s="14" t="inlineStr">
        <is>
          <t>YoY $</t>
        </is>
      </c>
      <c r="G13" s="14" t="inlineStr">
        <is>
          <t>YoY %</t>
        </is>
      </c>
    </row>
    <row r="14">
      <c r="B14" s="18" t="n">
        <v>2022</v>
      </c>
      <c r="C14" s="18" t="inlineStr">
        <is>
          <t>Q1</t>
        </is>
      </c>
      <c r="D14" s="16" t="n">
        <v>188066.14</v>
      </c>
      <c r="E14" s="18" t="n"/>
      <c r="F14" s="18" t="n"/>
      <c r="G14" s="18" t="n"/>
    </row>
    <row r="15">
      <c r="B15" s="18" t="n">
        <v>2022</v>
      </c>
      <c r="C15" s="18" t="inlineStr">
        <is>
          <t>Q2</t>
        </is>
      </c>
      <c r="D15" s="16" t="n">
        <v>233095.75</v>
      </c>
      <c r="E15" s="18" t="n"/>
      <c r="F15" s="18" t="n"/>
      <c r="G15" s="18" t="n"/>
    </row>
    <row r="16">
      <c r="B16" s="18" t="n">
        <v>2022</v>
      </c>
      <c r="C16" s="18" t="inlineStr">
        <is>
          <t>Q3</t>
        </is>
      </c>
      <c r="D16" s="16" t="n">
        <v>247555.05</v>
      </c>
      <c r="E16" s="18" t="n"/>
      <c r="F16" s="18" t="n"/>
      <c r="G16" s="18" t="n"/>
    </row>
    <row r="17">
      <c r="B17" s="18" t="n">
        <v>2022</v>
      </c>
      <c r="C17" s="18" t="inlineStr">
        <is>
          <t>Q4</t>
        </is>
      </c>
      <c r="D17" s="16" t="n">
        <v>299303.43</v>
      </c>
      <c r="E17" s="18" t="n"/>
      <c r="F17" s="18" t="n"/>
      <c r="G17" s="18" t="n"/>
    </row>
    <row r="18">
      <c r="B18" s="18" t="n">
        <v>2023</v>
      </c>
      <c r="C18" s="18" t="inlineStr">
        <is>
          <t>Q1</t>
        </is>
      </c>
      <c r="D18" s="16" t="n">
        <v>274262.96</v>
      </c>
      <c r="E18" s="16" t="n">
        <v>188066.14</v>
      </c>
      <c r="F18" s="25">
        <f>D18-E18</f>
        <v/>
      </c>
      <c r="G18" s="26">
        <f>IF(E18=0,NA(),D18/E18-1)</f>
        <v/>
      </c>
    </row>
    <row r="19">
      <c r="B19" s="18" t="n">
        <v>2023</v>
      </c>
      <c r="C19" s="18" t="inlineStr">
        <is>
          <t>Q2</t>
        </is>
      </c>
      <c r="D19" s="16" t="n">
        <v>284778.76</v>
      </c>
      <c r="E19" s="16" t="n">
        <v>233095.75</v>
      </c>
      <c r="F19" s="25">
        <f>D19-E19</f>
        <v/>
      </c>
      <c r="G19" s="26">
        <f>IF(E19=0,NA(),D19/E19-1)</f>
        <v/>
      </c>
    </row>
    <row r="20">
      <c r="B20" s="18" t="n">
        <v>2023</v>
      </c>
      <c r="C20" s="18" t="inlineStr">
        <is>
          <t>Q3</t>
        </is>
      </c>
      <c r="D20" s="16" t="n">
        <v>283055.27</v>
      </c>
      <c r="E20" s="16" t="n">
        <v>247555.05</v>
      </c>
      <c r="F20" s="25">
        <f>D20-E20</f>
        <v/>
      </c>
      <c r="G20" s="26">
        <f>IF(E20=0,NA(),D20/E20-1)</f>
        <v/>
      </c>
    </row>
    <row r="21">
      <c r="B21" s="18" t="n">
        <v>2023</v>
      </c>
      <c r="C21" s="18" t="inlineStr">
        <is>
          <t>Q4</t>
        </is>
      </c>
      <c r="D21" s="16" t="n">
        <v>338932.04</v>
      </c>
      <c r="E21" s="16" t="n">
        <v>299303.43</v>
      </c>
      <c r="F21" s="25">
        <f>D21-E21</f>
        <v/>
      </c>
      <c r="G21" s="26">
        <f>IF(E21=0,NA(),D21/E21-1)</f>
        <v/>
      </c>
    </row>
    <row r="22">
      <c r="B22" s="18" t="n">
        <v>2024</v>
      </c>
      <c r="C22" s="18" t="inlineStr">
        <is>
          <t>Q1</t>
        </is>
      </c>
      <c r="D22" s="16" t="n">
        <v>239639.27</v>
      </c>
      <c r="E22" s="16" t="n">
        <v>274262.96</v>
      </c>
      <c r="F22" s="25">
        <f>D22-E22</f>
        <v/>
      </c>
      <c r="G22" s="26">
        <f>IF(E22=0,NA(),D22/E22-1)</f>
        <v/>
      </c>
    </row>
    <row r="23">
      <c r="B23" s="18" t="n">
        <v>2024</v>
      </c>
      <c r="C23" s="18" t="inlineStr">
        <is>
          <t>Q2</t>
        </is>
      </c>
      <c r="D23" s="16" t="n">
        <v>310687.93</v>
      </c>
      <c r="E23" s="16" t="n">
        <v>284778.76</v>
      </c>
      <c r="F23" s="25">
        <f>D23-E23</f>
        <v/>
      </c>
      <c r="G23" s="26">
        <f>IF(E23=0,NA(),D23/E23-1)</f>
        <v/>
      </c>
    </row>
    <row r="24">
      <c r="B24" s="18" t="n">
        <v>2024</v>
      </c>
      <c r="C24" s="18" t="inlineStr">
        <is>
          <t>Q3</t>
        </is>
      </c>
      <c r="D24" s="16" t="n">
        <v>288896.94</v>
      </c>
      <c r="E24" s="16" t="n">
        <v>283055.27</v>
      </c>
      <c r="F24" s="25">
        <f>D24-E24</f>
        <v/>
      </c>
      <c r="G24" s="26">
        <f>IF(E24=0,NA(),D24/E24-1)</f>
        <v/>
      </c>
    </row>
    <row r="25">
      <c r="B25" s="18" t="n">
        <v>2024</v>
      </c>
      <c r="C25" s="18" t="inlineStr">
        <is>
          <t>Q4</t>
        </is>
      </c>
      <c r="D25" s="16" t="n">
        <v>363996.1</v>
      </c>
      <c r="E25" s="16" t="n">
        <v>338932.04</v>
      </c>
      <c r="F25" s="25">
        <f>D25-E25</f>
        <v/>
      </c>
      <c r="G25" s="26">
        <f>IF(E25=0,NA(),D25/E25-1)</f>
        <v/>
      </c>
    </row>
    <row r="26">
      <c r="B26" s="18" t="n">
        <v>2025</v>
      </c>
      <c r="C26" s="18" t="inlineStr">
        <is>
          <t>Q1</t>
        </is>
      </c>
      <c r="D26" s="16" t="n">
        <v>285298.7</v>
      </c>
      <c r="E26" s="16" t="n">
        <v>239639.27</v>
      </c>
      <c r="F26" s="25">
        <f>D26-E26</f>
        <v/>
      </c>
      <c r="G26" s="26">
        <f>IF(E26=0,NA(),D26/E26-1)</f>
        <v/>
      </c>
    </row>
    <row r="27">
      <c r="B27" s="18" t="n">
        <v>2025</v>
      </c>
      <c r="C27" s="18" t="inlineStr">
        <is>
          <t>Q2</t>
        </is>
      </c>
      <c r="D27" s="16" t="n">
        <v>373755.21</v>
      </c>
      <c r="E27" s="16" t="n">
        <v>310687.93</v>
      </c>
      <c r="F27" s="25">
        <f>D27-E27</f>
        <v/>
      </c>
      <c r="G27" s="26">
        <f>IF(E27=0,NA(),D27/E27-1)</f>
        <v/>
      </c>
    </row>
    <row r="30">
      <c r="B30" s="5" t="inlineStr">
        <is>
          <t>By Year-Month (with SPLY)</t>
        </is>
      </c>
    </row>
    <row r="31">
      <c r="B31" s="14" t="inlineStr">
        <is>
          <t>Year</t>
        </is>
      </c>
      <c r="C31" s="14" t="inlineStr">
        <is>
          <t>Month</t>
        </is>
      </c>
      <c r="D31" s="14" t="inlineStr">
        <is>
          <t>Month Name</t>
        </is>
      </c>
      <c r="E31" s="14" t="inlineStr">
        <is>
          <t>Sales $</t>
        </is>
      </c>
      <c r="F31" s="14" t="inlineStr">
        <is>
          <t>SPLY $</t>
        </is>
      </c>
      <c r="G31" s="14" t="inlineStr">
        <is>
          <t>YoY $</t>
        </is>
      </c>
      <c r="H31" s="14" t="inlineStr">
        <is>
          <t>YoY %</t>
        </is>
      </c>
    </row>
    <row r="32">
      <c r="B32" s="18" t="n">
        <v>2022</v>
      </c>
      <c r="C32" s="18" t="n">
        <v>1</v>
      </c>
      <c r="D32" s="18" t="inlineStr">
        <is>
          <t>Jan</t>
        </is>
      </c>
      <c r="E32" s="16" t="n">
        <v>61721.76</v>
      </c>
      <c r="F32" s="18" t="n"/>
      <c r="G32" s="18" t="n"/>
      <c r="H32" s="18" t="n"/>
    </row>
    <row r="33">
      <c r="B33" s="18" t="n">
        <v>2022</v>
      </c>
      <c r="C33" s="18" t="n">
        <v>2</v>
      </c>
      <c r="D33" s="18" t="inlineStr">
        <is>
          <t>Feb</t>
        </is>
      </c>
      <c r="E33" s="16" t="n">
        <v>42349.55</v>
      </c>
      <c r="F33" s="18" t="n"/>
      <c r="G33" s="18" t="n"/>
      <c r="H33" s="18" t="n"/>
    </row>
    <row r="34">
      <c r="B34" s="18" t="n">
        <v>2022</v>
      </c>
      <c r="C34" s="18" t="n">
        <v>3</v>
      </c>
      <c r="D34" s="18" t="inlineStr">
        <is>
          <t>Mar</t>
        </is>
      </c>
      <c r="E34" s="16" t="n">
        <v>83994.83</v>
      </c>
      <c r="F34" s="18" t="n"/>
      <c r="G34" s="18" t="n"/>
      <c r="H34" s="18" t="n"/>
    </row>
    <row r="35">
      <c r="B35" s="18" t="n">
        <v>2022</v>
      </c>
      <c r="C35" s="18" t="n">
        <v>4</v>
      </c>
      <c r="D35" s="18" t="inlineStr">
        <is>
          <t>Apr</t>
        </is>
      </c>
      <c r="E35" s="16" t="n">
        <v>96159.92999999999</v>
      </c>
      <c r="F35" s="18" t="n"/>
      <c r="G35" s="18" t="n"/>
      <c r="H35" s="18" t="n"/>
    </row>
    <row r="36">
      <c r="B36" s="18" t="n">
        <v>2022</v>
      </c>
      <c r="C36" s="18" t="n">
        <v>5</v>
      </c>
      <c r="D36" s="18" t="inlineStr">
        <is>
          <t>May</t>
        </is>
      </c>
      <c r="E36" s="16" t="n">
        <v>67296.38</v>
      </c>
      <c r="F36" s="18" t="n"/>
      <c r="G36" s="18" t="n"/>
      <c r="H36" s="18" t="n"/>
    </row>
    <row r="37">
      <c r="B37" s="18" t="n">
        <v>2022</v>
      </c>
      <c r="C37" s="18" t="n">
        <v>6</v>
      </c>
      <c r="D37" s="18" t="inlineStr">
        <is>
          <t>Jun</t>
        </is>
      </c>
      <c r="E37" s="16" t="n">
        <v>69639.44</v>
      </c>
      <c r="F37" s="18" t="n"/>
      <c r="G37" s="18" t="n"/>
      <c r="H37" s="18" t="n"/>
    </row>
    <row r="38">
      <c r="B38" s="18" t="n">
        <v>2022</v>
      </c>
      <c r="C38" s="18" t="n">
        <v>7</v>
      </c>
      <c r="D38" s="18" t="inlineStr">
        <is>
          <t>Jul</t>
        </is>
      </c>
      <c r="E38" s="16" t="n">
        <v>67290.74000000001</v>
      </c>
      <c r="F38" s="18" t="n"/>
      <c r="G38" s="18" t="n"/>
      <c r="H38" s="18" t="n"/>
    </row>
    <row r="39">
      <c r="B39" s="18" t="n">
        <v>2022</v>
      </c>
      <c r="C39" s="18" t="n">
        <v>8</v>
      </c>
      <c r="D39" s="18" t="inlineStr">
        <is>
          <t>Aug</t>
        </is>
      </c>
      <c r="E39" s="16" t="n">
        <v>89721.86</v>
      </c>
      <c r="F39" s="18" t="n"/>
      <c r="G39" s="18" t="n"/>
      <c r="H39" s="18" t="n"/>
    </row>
    <row r="40">
      <c r="B40" s="18" t="n">
        <v>2022</v>
      </c>
      <c r="C40" s="18" t="n">
        <v>9</v>
      </c>
      <c r="D40" s="18" t="inlineStr">
        <is>
          <t>Sep</t>
        </is>
      </c>
      <c r="E40" s="16" t="n">
        <v>90542.45</v>
      </c>
      <c r="F40" s="18" t="n"/>
      <c r="G40" s="18" t="n"/>
      <c r="H40" s="18" t="n"/>
    </row>
    <row r="41">
      <c r="B41" s="18" t="n">
        <v>2022</v>
      </c>
      <c r="C41" s="18" t="n">
        <v>10</v>
      </c>
      <c r="D41" s="18" t="inlineStr">
        <is>
          <t>Oct</t>
        </is>
      </c>
      <c r="E41" s="16" t="n">
        <v>112462.55</v>
      </c>
      <c r="F41" s="18" t="n"/>
      <c r="G41" s="18" t="n"/>
      <c r="H41" s="18" t="n"/>
    </row>
    <row r="42">
      <c r="B42" s="18" t="n">
        <v>2022</v>
      </c>
      <c r="C42" s="18" t="n">
        <v>11</v>
      </c>
      <c r="D42" s="18" t="inlineStr">
        <is>
          <t>Nov</t>
        </is>
      </c>
      <c r="E42" s="16" t="n">
        <v>108351.14</v>
      </c>
      <c r="F42" s="18" t="n"/>
      <c r="G42" s="18" t="n"/>
      <c r="H42" s="18" t="n"/>
    </row>
    <row r="43">
      <c r="B43" s="18" t="n">
        <v>2022</v>
      </c>
      <c r="C43" s="18" t="n">
        <v>12</v>
      </c>
      <c r="D43" s="18" t="inlineStr">
        <is>
          <t>Dec</t>
        </is>
      </c>
      <c r="E43" s="16" t="n">
        <v>78489.74000000001</v>
      </c>
      <c r="F43" s="18" t="n"/>
      <c r="G43" s="18" t="n"/>
      <c r="H43" s="18" t="n"/>
    </row>
    <row r="44">
      <c r="B44" s="18" t="n">
        <v>2023</v>
      </c>
      <c r="C44" s="18" t="n">
        <v>1</v>
      </c>
      <c r="D44" s="18" t="inlineStr">
        <is>
          <t>Jan</t>
        </is>
      </c>
      <c r="E44" s="16" t="n">
        <v>102596.58</v>
      </c>
      <c r="F44" s="16" t="n">
        <v>61721.76</v>
      </c>
      <c r="G44" s="25">
        <f>E44-F44</f>
        <v/>
      </c>
      <c r="H44" s="26">
        <f>IF(F44=0,NA(),E44/F44-1)</f>
        <v/>
      </c>
    </row>
    <row r="45">
      <c r="B45" s="18" t="n">
        <v>2023</v>
      </c>
      <c r="C45" s="18" t="n">
        <v>2</v>
      </c>
      <c r="D45" s="18" t="inlineStr">
        <is>
          <t>Feb</t>
        </is>
      </c>
      <c r="E45" s="16" t="n">
        <v>80230.17</v>
      </c>
      <c r="F45" s="16" t="n">
        <v>42349.55</v>
      </c>
      <c r="G45" s="25">
        <f>E45-F45</f>
        <v/>
      </c>
      <c r="H45" s="26">
        <f>IF(F45=0,NA(),E45/F45-1)</f>
        <v/>
      </c>
    </row>
    <row r="46">
      <c r="B46" s="18" t="n">
        <v>2023</v>
      </c>
      <c r="C46" s="18" t="n">
        <v>3</v>
      </c>
      <c r="D46" s="18" t="inlineStr">
        <is>
          <t>Mar</t>
        </is>
      </c>
      <c r="E46" s="16" t="n">
        <v>91436.21000000001</v>
      </c>
      <c r="F46" s="16" t="n">
        <v>83994.83</v>
      </c>
      <c r="G46" s="25">
        <f>E46-F46</f>
        <v/>
      </c>
      <c r="H46" s="26">
        <f>IF(F46=0,NA(),E46/F46-1)</f>
        <v/>
      </c>
    </row>
    <row r="47">
      <c r="B47" s="18" t="n">
        <v>2023</v>
      </c>
      <c r="C47" s="18" t="n">
        <v>4</v>
      </c>
      <c r="D47" s="18" t="inlineStr">
        <is>
          <t>Apr</t>
        </is>
      </c>
      <c r="E47" s="16" t="n">
        <v>76163.75999999999</v>
      </c>
      <c r="F47" s="16" t="n">
        <v>96159.92999999999</v>
      </c>
      <c r="G47" s="25">
        <f>E47-F47</f>
        <v/>
      </c>
      <c r="H47" s="26">
        <f>IF(F47=0,NA(),E47/F47-1)</f>
        <v/>
      </c>
    </row>
    <row r="48">
      <c r="B48" s="18" t="n">
        <v>2023</v>
      </c>
      <c r="C48" s="18" t="n">
        <v>5</v>
      </c>
      <c r="D48" s="18" t="inlineStr">
        <is>
          <t>May</t>
        </is>
      </c>
      <c r="E48" s="16" t="n">
        <v>108098.83</v>
      </c>
      <c r="F48" s="16" t="n">
        <v>67296.38</v>
      </c>
      <c r="G48" s="25">
        <f>E48-F48</f>
        <v/>
      </c>
      <c r="H48" s="26">
        <f>IF(F48=0,NA(),E48/F48-1)</f>
        <v/>
      </c>
    </row>
    <row r="49">
      <c r="B49" s="18" t="n">
        <v>2023</v>
      </c>
      <c r="C49" s="18" t="n">
        <v>6</v>
      </c>
      <c r="D49" s="18" t="inlineStr">
        <is>
          <t>Jun</t>
        </is>
      </c>
      <c r="E49" s="16" t="n">
        <v>100516.17</v>
      </c>
      <c r="F49" s="16" t="n">
        <v>69639.44</v>
      </c>
      <c r="G49" s="25">
        <f>E49-F49</f>
        <v/>
      </c>
      <c r="H49" s="26">
        <f>IF(F49=0,NA(),E49/F49-1)</f>
        <v/>
      </c>
    </row>
    <row r="50">
      <c r="B50" s="18" t="n">
        <v>2023</v>
      </c>
      <c r="C50" s="18" t="n">
        <v>7</v>
      </c>
      <c r="D50" s="18" t="inlineStr">
        <is>
          <t>Jul</t>
        </is>
      </c>
      <c r="E50" s="16" t="n">
        <v>109923.68</v>
      </c>
      <c r="F50" s="16" t="n">
        <v>67290.74000000001</v>
      </c>
      <c r="G50" s="25">
        <f>E50-F50</f>
        <v/>
      </c>
      <c r="H50" s="26">
        <f>IF(F50=0,NA(),E50/F50-1)</f>
        <v/>
      </c>
    </row>
    <row r="51">
      <c r="B51" s="18" t="n">
        <v>2023</v>
      </c>
      <c r="C51" s="18" t="n">
        <v>8</v>
      </c>
      <c r="D51" s="18" t="inlineStr">
        <is>
          <t>Aug</t>
        </is>
      </c>
      <c r="E51" s="16" t="n">
        <v>95932.47</v>
      </c>
      <c r="F51" s="16" t="n">
        <v>89721.86</v>
      </c>
      <c r="G51" s="25">
        <f>E51-F51</f>
        <v/>
      </c>
      <c r="H51" s="26">
        <f>IF(F51=0,NA(),E51/F51-1)</f>
        <v/>
      </c>
    </row>
    <row r="52">
      <c r="B52" s="18" t="n">
        <v>2023</v>
      </c>
      <c r="C52" s="18" t="n">
        <v>9</v>
      </c>
      <c r="D52" s="18" t="inlineStr">
        <is>
          <t>Sep</t>
        </is>
      </c>
      <c r="E52" s="16" t="n">
        <v>77199.12</v>
      </c>
      <c r="F52" s="16" t="n">
        <v>90542.45</v>
      </c>
      <c r="G52" s="25">
        <f>E52-F52</f>
        <v/>
      </c>
      <c r="H52" s="26">
        <f>IF(F52=0,NA(),E52/F52-1)</f>
        <v/>
      </c>
    </row>
    <row r="53">
      <c r="B53" s="18" t="n">
        <v>2023</v>
      </c>
      <c r="C53" s="18" t="n">
        <v>10</v>
      </c>
      <c r="D53" s="18" t="inlineStr">
        <is>
          <t>Oct</t>
        </is>
      </c>
      <c r="E53" s="16" t="n">
        <v>105923.56</v>
      </c>
      <c r="F53" s="16" t="n">
        <v>112462.55</v>
      </c>
      <c r="G53" s="25">
        <f>E53-F53</f>
        <v/>
      </c>
      <c r="H53" s="26">
        <f>IF(F53=0,NA(),E53/F53-1)</f>
        <v/>
      </c>
    </row>
    <row r="54">
      <c r="B54" s="18" t="n">
        <v>2023</v>
      </c>
      <c r="C54" s="18" t="n">
        <v>11</v>
      </c>
      <c r="D54" s="18" t="inlineStr">
        <is>
          <t>Nov</t>
        </is>
      </c>
      <c r="E54" s="16" t="n">
        <v>124837.31</v>
      </c>
      <c r="F54" s="16" t="n">
        <v>108351.14</v>
      </c>
      <c r="G54" s="25">
        <f>E54-F54</f>
        <v/>
      </c>
      <c r="H54" s="26">
        <f>IF(F54=0,NA(),E54/F54-1)</f>
        <v/>
      </c>
    </row>
    <row r="55">
      <c r="B55" s="18" t="n">
        <v>2023</v>
      </c>
      <c r="C55" s="18" t="n">
        <v>12</v>
      </c>
      <c r="D55" s="18" t="inlineStr">
        <is>
          <t>Dec</t>
        </is>
      </c>
      <c r="E55" s="16" t="n">
        <v>108171.17</v>
      </c>
      <c r="F55" s="16" t="n">
        <v>78489.74000000001</v>
      </c>
      <c r="G55" s="25">
        <f>E55-F55</f>
        <v/>
      </c>
      <c r="H55" s="26">
        <f>IF(F55=0,NA(),E55/F55-1)</f>
        <v/>
      </c>
    </row>
    <row r="56">
      <c r="B56" s="18" t="n">
        <v>2024</v>
      </c>
      <c r="C56" s="18" t="n">
        <v>1</v>
      </c>
      <c r="D56" s="18" t="inlineStr">
        <is>
          <t>Jan</t>
        </is>
      </c>
      <c r="E56" s="16" t="n">
        <v>91070.21000000001</v>
      </c>
      <c r="F56" s="16" t="n">
        <v>102596.58</v>
      </c>
      <c r="G56" s="25">
        <f>E56-F56</f>
        <v/>
      </c>
      <c r="H56" s="26">
        <f>IF(F56=0,NA(),E56/F56-1)</f>
        <v/>
      </c>
    </row>
    <row r="57">
      <c r="B57" s="18" t="n">
        <v>2024</v>
      </c>
      <c r="C57" s="18" t="n">
        <v>2</v>
      </c>
      <c r="D57" s="18" t="inlineStr">
        <is>
          <t>Feb</t>
        </is>
      </c>
      <c r="E57" s="16" t="n">
        <v>74075.8</v>
      </c>
      <c r="F57" s="16" t="n">
        <v>80230.17</v>
      </c>
      <c r="G57" s="25">
        <f>E57-F57</f>
        <v/>
      </c>
      <c r="H57" s="26">
        <f>IF(F57=0,NA(),E57/F57-1)</f>
        <v/>
      </c>
    </row>
    <row r="58">
      <c r="B58" s="18" t="n">
        <v>2024</v>
      </c>
      <c r="C58" s="18" t="n">
        <v>3</v>
      </c>
      <c r="D58" s="18" t="inlineStr">
        <is>
          <t>Mar</t>
        </is>
      </c>
      <c r="E58" s="16" t="n">
        <v>74493.25999999999</v>
      </c>
      <c r="F58" s="16" t="n">
        <v>91436.21000000001</v>
      </c>
      <c r="G58" s="25">
        <f>E58-F58</f>
        <v/>
      </c>
      <c r="H58" s="26">
        <f>IF(F58=0,NA(),E58/F58-1)</f>
        <v/>
      </c>
    </row>
    <row r="59">
      <c r="B59" s="18" t="n">
        <v>2024</v>
      </c>
      <c r="C59" s="18" t="n">
        <v>4</v>
      </c>
      <c r="D59" s="18" t="inlineStr">
        <is>
          <t>Apr</t>
        </is>
      </c>
      <c r="E59" s="16" t="n">
        <v>90160.39999999999</v>
      </c>
      <c r="F59" s="16" t="n">
        <v>76163.75999999999</v>
      </c>
      <c r="G59" s="25">
        <f>E59-F59</f>
        <v/>
      </c>
      <c r="H59" s="26">
        <f>IF(F59=0,NA(),E59/F59-1)</f>
        <v/>
      </c>
    </row>
    <row r="60">
      <c r="B60" s="18" t="n">
        <v>2024</v>
      </c>
      <c r="C60" s="18" t="n">
        <v>5</v>
      </c>
      <c r="D60" s="18" t="inlineStr">
        <is>
          <t>May</t>
        </is>
      </c>
      <c r="E60" s="16" t="n">
        <v>114050.27</v>
      </c>
      <c r="F60" s="16" t="n">
        <v>108098.83</v>
      </c>
      <c r="G60" s="25">
        <f>E60-F60</f>
        <v/>
      </c>
      <c r="H60" s="26">
        <f>IF(F60=0,NA(),E60/F60-1)</f>
        <v/>
      </c>
    </row>
    <row r="61">
      <c r="B61" s="18" t="n">
        <v>2024</v>
      </c>
      <c r="C61" s="18" t="n">
        <v>6</v>
      </c>
      <c r="D61" s="18" t="inlineStr">
        <is>
          <t>Jun</t>
        </is>
      </c>
      <c r="E61" s="16" t="n">
        <v>106477.26</v>
      </c>
      <c r="F61" s="16" t="n">
        <v>100516.17</v>
      </c>
      <c r="G61" s="25">
        <f>E61-F61</f>
        <v/>
      </c>
      <c r="H61" s="26">
        <f>IF(F61=0,NA(),E61/F61-1)</f>
        <v/>
      </c>
    </row>
    <row r="62">
      <c r="B62" s="18" t="n">
        <v>2024</v>
      </c>
      <c r="C62" s="18" t="n">
        <v>7</v>
      </c>
      <c r="D62" s="18" t="inlineStr">
        <is>
          <t>Jul</t>
        </is>
      </c>
      <c r="E62" s="16" t="n">
        <v>110618.07</v>
      </c>
      <c r="F62" s="16" t="n">
        <v>109923.68</v>
      </c>
      <c r="G62" s="25">
        <f>E62-F62</f>
        <v/>
      </c>
      <c r="H62" s="26">
        <f>IF(F62=0,NA(),E62/F62-1)</f>
        <v/>
      </c>
    </row>
    <row r="63">
      <c r="B63" s="18" t="n">
        <v>2024</v>
      </c>
      <c r="C63" s="18" t="n">
        <v>8</v>
      </c>
      <c r="D63" s="18" t="inlineStr">
        <is>
          <t>Aug</t>
        </is>
      </c>
      <c r="E63" s="16" t="n">
        <v>84323.84</v>
      </c>
      <c r="F63" s="16" t="n">
        <v>95932.47</v>
      </c>
      <c r="G63" s="25">
        <f>E63-F63</f>
        <v/>
      </c>
      <c r="H63" s="26">
        <f>IF(F63=0,NA(),E63/F63-1)</f>
        <v/>
      </c>
    </row>
    <row r="64">
      <c r="B64" s="18" t="n">
        <v>2024</v>
      </c>
      <c r="C64" s="18" t="n">
        <v>9</v>
      </c>
      <c r="D64" s="18" t="inlineStr">
        <is>
          <t>Sep</t>
        </is>
      </c>
      <c r="E64" s="16" t="n">
        <v>93955.03</v>
      </c>
      <c r="F64" s="16" t="n">
        <v>77199.12</v>
      </c>
      <c r="G64" s="25">
        <f>E64-F64</f>
        <v/>
      </c>
      <c r="H64" s="26">
        <f>IF(F64=0,NA(),E64/F64-1)</f>
        <v/>
      </c>
    </row>
    <row r="65">
      <c r="B65" s="18" t="n">
        <v>2024</v>
      </c>
      <c r="C65" s="18" t="n">
        <v>10</v>
      </c>
      <c r="D65" s="18" t="inlineStr">
        <is>
          <t>Oct</t>
        </is>
      </c>
      <c r="E65" s="16" t="n">
        <v>108416.16</v>
      </c>
      <c r="F65" s="16" t="n">
        <v>105923.56</v>
      </c>
      <c r="G65" s="25">
        <f>E65-F65</f>
        <v/>
      </c>
      <c r="H65" s="26">
        <f>IF(F65=0,NA(),E65/F65-1)</f>
        <v/>
      </c>
    </row>
    <row r="66">
      <c r="B66" s="18" t="n">
        <v>2024</v>
      </c>
      <c r="C66" s="18" t="n">
        <v>11</v>
      </c>
      <c r="D66" s="18" t="inlineStr">
        <is>
          <t>Nov</t>
        </is>
      </c>
      <c r="E66" s="16" t="n">
        <v>109702.79</v>
      </c>
      <c r="F66" s="16" t="n">
        <v>124837.31</v>
      </c>
      <c r="G66" s="25">
        <f>E66-F66</f>
        <v/>
      </c>
      <c r="H66" s="26">
        <f>IF(F66=0,NA(),E66/F66-1)</f>
        <v/>
      </c>
    </row>
    <row r="67">
      <c r="B67" s="18" t="n">
        <v>2024</v>
      </c>
      <c r="C67" s="18" t="n">
        <v>12</v>
      </c>
      <c r="D67" s="18" t="inlineStr">
        <is>
          <t>Dec</t>
        </is>
      </c>
      <c r="E67" s="16" t="n">
        <v>145877.15</v>
      </c>
      <c r="F67" s="16" t="n">
        <v>108171.17</v>
      </c>
      <c r="G67" s="25">
        <f>E67-F67</f>
        <v/>
      </c>
      <c r="H67" s="26">
        <f>IF(F67=0,NA(),E67/F67-1)</f>
        <v/>
      </c>
    </row>
    <row r="68">
      <c r="B68" s="18" t="n">
        <v>2025</v>
      </c>
      <c r="C68" s="18" t="n">
        <v>1</v>
      </c>
      <c r="D68" s="18" t="inlineStr">
        <is>
          <t>Jan</t>
        </is>
      </c>
      <c r="E68" s="16" t="n">
        <v>97263.46000000001</v>
      </c>
      <c r="F68" s="16" t="n">
        <v>91070.21000000001</v>
      </c>
      <c r="G68" s="25">
        <f>E68-F68</f>
        <v/>
      </c>
      <c r="H68" s="26">
        <f>IF(F68=0,NA(),E68/F68-1)</f>
        <v/>
      </c>
    </row>
    <row r="69">
      <c r="B69" s="18" t="n">
        <v>2025</v>
      </c>
      <c r="C69" s="18" t="n">
        <v>2</v>
      </c>
      <c r="D69" s="18" t="inlineStr">
        <is>
          <t>Feb</t>
        </is>
      </c>
      <c r="E69" s="16" t="n">
        <v>91217.14</v>
      </c>
      <c r="F69" s="16" t="n">
        <v>74075.8</v>
      </c>
      <c r="G69" s="25">
        <f>E69-F69</f>
        <v/>
      </c>
      <c r="H69" s="26">
        <f>IF(F69=0,NA(),E69/F69-1)</f>
        <v/>
      </c>
    </row>
    <row r="70">
      <c r="B70" s="18" t="n">
        <v>2025</v>
      </c>
      <c r="C70" s="18" t="n">
        <v>3</v>
      </c>
      <c r="D70" s="18" t="inlineStr">
        <is>
          <t>Mar</t>
        </is>
      </c>
      <c r="E70" s="16" t="n">
        <v>96818.10000000001</v>
      </c>
      <c r="F70" s="16" t="n">
        <v>74493.25999999999</v>
      </c>
      <c r="G70" s="25">
        <f>E70-F70</f>
        <v/>
      </c>
      <c r="H70" s="26">
        <f>IF(F70=0,NA(),E70/F70-1)</f>
        <v/>
      </c>
    </row>
    <row r="71">
      <c r="B71" s="18" t="n">
        <v>2025</v>
      </c>
      <c r="C71" s="18" t="n">
        <v>4</v>
      </c>
      <c r="D71" s="18" t="inlineStr">
        <is>
          <t>Apr</t>
        </is>
      </c>
      <c r="E71" s="16" t="n">
        <v>94717.25</v>
      </c>
      <c r="F71" s="16" t="n">
        <v>90160.39999999999</v>
      </c>
      <c r="G71" s="25">
        <f>E71-F71</f>
        <v/>
      </c>
      <c r="H71" s="26">
        <f>IF(F71=0,NA(),E71/F71-1)</f>
        <v/>
      </c>
    </row>
    <row r="72">
      <c r="B72" s="18" t="n">
        <v>2025</v>
      </c>
      <c r="C72" s="18" t="n">
        <v>5</v>
      </c>
      <c r="D72" s="18" t="inlineStr">
        <is>
          <t>May</t>
        </is>
      </c>
      <c r="E72" s="16" t="n">
        <v>126930.31</v>
      </c>
      <c r="F72" s="16" t="n">
        <v>114050.27</v>
      </c>
      <c r="G72" s="25">
        <f>E72-F72</f>
        <v/>
      </c>
      <c r="H72" s="26">
        <f>IF(F72=0,NA(),E72/F72-1)</f>
        <v/>
      </c>
    </row>
    <row r="73">
      <c r="B73" s="18" t="n">
        <v>2025</v>
      </c>
      <c r="C73" s="18" t="n">
        <v>6</v>
      </c>
      <c r="D73" s="18" t="inlineStr">
        <is>
          <t>Jun</t>
        </is>
      </c>
      <c r="E73" s="16" t="n">
        <v>152107.65</v>
      </c>
      <c r="F73" s="16" t="n">
        <v>106477.26</v>
      </c>
      <c r="G73" s="25">
        <f>E73-F73</f>
        <v/>
      </c>
      <c r="H73" s="26">
        <f>IF(F73=0,NA(),E73/F73-1)</f>
        <v/>
      </c>
    </row>
    <row r="76">
      <c r="B76" s="20" t="inlineStr">
        <is>
          <t>SPLY = same calendar period in the prior year. Black cells are Excel formulas. In Power BI use CALCULATE([Total_Sales], SAMEPERIODLASTYEAR(Calendar[Date])).</t>
        </is>
      </c>
    </row>
  </sheetData>
  <mergeCells count="1"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5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5" customWidth="1" min="3" max="3"/>
    <col width="55" customWidth="1" min="4" max="4"/>
  </cols>
  <sheetData>
    <row r="2">
      <c r="B2" s="10" t="inlineStr">
        <is>
          <t>Measure Definitions — Excel Equivalents + DAX (paste into Power BI)</t>
        </is>
      </c>
    </row>
    <row r="4">
      <c r="B4" s="14" t="inlineStr">
        <is>
          <t>Measure</t>
        </is>
      </c>
      <c r="C4" s="14" t="inlineStr">
        <is>
          <t>Excel / this workbook</t>
        </is>
      </c>
      <c r="D4" s="14" t="inlineStr">
        <is>
          <t>DAX (Power BI Desktop)</t>
        </is>
      </c>
    </row>
    <row r="5" ht="55" customHeight="1">
      <c r="B5" s="27" t="inlineStr">
        <is>
          <t>Total_Quantity</t>
        </is>
      </c>
      <c r="C5" s="28" t="inlineStr">
        <is>
          <t>SUM of Units Sold</t>
        </is>
      </c>
      <c r="D5" s="29" t="inlineStr">
        <is>
          <t>Total_Quantity = SUM(sales_data[Units Sold])</t>
        </is>
      </c>
    </row>
    <row r="6" ht="55" customHeight="1">
      <c r="B6" s="27" t="inlineStr">
        <is>
          <t>Total_Sales</t>
        </is>
      </c>
      <c r="C6" s="28" t="inlineStr">
        <is>
          <t>SUM of (Units Sold × Price Per Unit) — or SUM of Sales Amount</t>
        </is>
      </c>
      <c r="D6" s="29" t="inlineStr">
        <is>
          <t>Total_Sales =
SUMX(
    sales_data,
    sales_data[Units Sold] * sales_data[Price Per Unit]
)</t>
        </is>
      </c>
    </row>
    <row r="7" ht="55" customHeight="1">
      <c r="B7" s="27" t="inlineStr">
        <is>
          <t>Transactions</t>
        </is>
      </c>
      <c r="C7" s="28" t="inlineStr">
        <is>
          <t>COUNT of Transaction ID / COUNTA of rows</t>
        </is>
      </c>
      <c r="D7" s="29" t="inlineStr">
        <is>
          <t>Transactions = COUNTROWS(sales_data)</t>
        </is>
      </c>
    </row>
    <row r="8" ht="55" customHeight="1">
      <c r="B8" s="27" t="inlineStr">
        <is>
          <t>Average_price</t>
        </is>
      </c>
      <c r="C8" s="28" t="inlineStr">
        <is>
          <t>Total_Sales ÷ Total_Quantity</t>
        </is>
      </c>
      <c r="D8" s="29" t="inlineStr">
        <is>
          <t>Average_price = DIVIDE([Total_Sales], [Total_Quantity], 0)</t>
        </is>
      </c>
    </row>
    <row r="9" ht="55" customHeight="1">
      <c r="B9" s="27" t="inlineStr">
        <is>
          <t>MTD</t>
        </is>
      </c>
      <c r="C9" s="28" t="inlineStr">
        <is>
          <t>02_MTD! cumulative column / SUMIFS for selected Year+Month through Day</t>
        </is>
      </c>
      <c r="D9" s="29" t="inlineStr">
        <is>
          <t>MTD =
TOTALMTD(
    [Total_Sales],
    Calendar[Date]
)</t>
        </is>
      </c>
    </row>
    <row r="10" ht="55" customHeight="1">
      <c r="B10" s="27" t="inlineStr">
        <is>
          <t>Same Period Last Year</t>
        </is>
      </c>
      <c r="C10" s="28" t="inlineStr">
        <is>
          <t>03_SPLY! prior-year column via YoY formulas</t>
        </is>
      </c>
      <c r="D10" s="29" t="inlineStr">
        <is>
          <t>Same Period Last Year =
CALCULATE(
    [Total_Sales],
    SAMEPERIODLASTYEAR(Calendar[Date])
)</t>
        </is>
      </c>
    </row>
    <row r="11" ht="55" customHeight="1">
      <c r="B11" s="27" t="inlineStr">
        <is>
          <t>YoY Growth %</t>
        </is>
      </c>
      <c r="C11" s="28" t="inlineStr">
        <is>
          <t>(Current − SPLY) ÷ SPLY</t>
        </is>
      </c>
      <c r="D11" s="29" t="inlineStr">
        <is>
          <t>YoY_Growth =
DIVIDE([Total_Sales] - [Same Period Last Year], [Same Period Last Year], 0)</t>
        </is>
      </c>
    </row>
    <row r="12" ht="55" customHeight="1">
      <c r="B12" s="27" t="inlineStr">
        <is>
          <t>YTD Sales</t>
        </is>
      </c>
      <c r="C12" s="28" t="inlineStr">
        <is>
          <t>SUMIFS Year = selected year, Date ≤ as-of</t>
        </is>
      </c>
      <c r="D12" s="29" t="inlineStr">
        <is>
          <t>YTD_Sales =
TOTALYTD([Total_Sales], Calendar[Date])</t>
        </is>
      </c>
    </row>
    <row r="14">
      <c r="B14" s="5" t="inlineStr">
        <is>
          <t>Model relationship</t>
        </is>
      </c>
    </row>
    <row r="15" ht="40" customHeight="1">
      <c r="B15" s="30" t="inlineStr">
        <is>
          <t>Relate Calendar[Date] (1) → sales_data[Date] (many). Mark Calendar as a date table. Table names assumed: sales_data and Calendar (see data/Northline_Sales_Data.xlsx).</t>
        </is>
      </c>
    </row>
  </sheetData>
  <mergeCells count="2">
    <mergeCell ref="B15:D15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33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60" customWidth="1" min="4" max="4"/>
  </cols>
  <sheetData>
    <row r="2">
      <c r="B2" s="10" t="inlineStr">
        <is>
          <t>Data Dictionary</t>
        </is>
      </c>
    </row>
    <row r="4">
      <c r="B4" s="5" t="inlineStr">
        <is>
          <t>sales_data</t>
        </is>
      </c>
    </row>
    <row r="5">
      <c r="B5" s="14" t="inlineStr">
        <is>
          <t>Field</t>
        </is>
      </c>
      <c r="C5" s="14" t="inlineStr">
        <is>
          <t>Type</t>
        </is>
      </c>
      <c r="D5" s="14" t="inlineStr">
        <is>
          <t>Description</t>
        </is>
      </c>
    </row>
    <row r="6">
      <c r="B6" s="18" t="inlineStr">
        <is>
          <t>Transaction ID</t>
        </is>
      </c>
      <c r="C6" s="18" t="inlineStr">
        <is>
          <t>Integer</t>
        </is>
      </c>
      <c r="D6" s="18" t="inlineStr">
        <is>
          <t>Unique order / shipment line identifier</t>
        </is>
      </c>
    </row>
    <row r="7">
      <c r="B7" s="18" t="inlineStr">
        <is>
          <t>Date</t>
        </is>
      </c>
      <c r="C7" s="18" t="inlineStr">
        <is>
          <t>Date</t>
        </is>
      </c>
      <c r="D7" s="18" t="inlineStr">
        <is>
          <t>Transaction / ship date (relate to Calendar[Date])</t>
        </is>
      </c>
    </row>
    <row r="8">
      <c r="B8" s="18" t="inlineStr">
        <is>
          <t>Day / Month / Year</t>
        </is>
      </c>
      <c r="C8" s="18" t="inlineStr">
        <is>
          <t>Integer</t>
        </is>
      </c>
      <c r="D8" s="18" t="inlineStr">
        <is>
          <t>Date parts for Excel pivots and filters</t>
        </is>
      </c>
    </row>
    <row r="9">
      <c r="B9" s="18" t="inlineStr">
        <is>
          <t>Day Name</t>
        </is>
      </c>
      <c r="C9" s="18" t="inlineStr">
        <is>
          <t>Text</t>
        </is>
      </c>
      <c r="D9" s="18" t="inlineStr">
        <is>
          <t>Weekday name</t>
        </is>
      </c>
    </row>
    <row r="10">
      <c r="B10" s="18" t="inlineStr">
        <is>
          <t>Channel</t>
        </is>
      </c>
      <c r="C10" s="18" t="inlineStr">
        <is>
          <t>Text</t>
        </is>
      </c>
      <c r="D10" s="18" t="inlineStr">
        <is>
          <t>Grocery | Mass | Club | E-comm | Convenience</t>
        </is>
      </c>
    </row>
    <row r="11">
      <c r="B11" s="18" t="inlineStr">
        <is>
          <t>Brand</t>
        </is>
      </c>
      <c r="C11" s="18" t="inlineStr">
        <is>
          <t>Text</t>
        </is>
      </c>
      <c r="D11" s="18" t="inlineStr">
        <is>
          <t>Northline Core | Northline Fresh | Northline Pro</t>
        </is>
      </c>
    </row>
    <row r="12">
      <c r="B12" s="18" t="inlineStr">
        <is>
          <t>SKU</t>
        </is>
      </c>
      <c r="C12" s="18" t="inlineStr">
        <is>
          <t>Text</t>
        </is>
      </c>
      <c r="D12" s="18" t="inlineStr">
        <is>
          <t>Internal product code</t>
        </is>
      </c>
    </row>
    <row r="13">
      <c r="B13" s="18" t="inlineStr">
        <is>
          <t>Product</t>
        </is>
      </c>
      <c r="C13" s="18" t="inlineStr">
        <is>
          <t>Text</t>
        </is>
      </c>
      <c r="D13" s="18" t="inlineStr">
        <is>
          <t>Commercial product name</t>
        </is>
      </c>
    </row>
    <row r="14">
      <c r="B14" s="18" t="inlineStr">
        <is>
          <t>Units Sold</t>
        </is>
      </c>
      <c r="C14" s="18" t="inlineStr">
        <is>
          <t>Integer</t>
        </is>
      </c>
      <c r="D14" s="18" t="inlineStr">
        <is>
          <t>Case / unit quantity on the order</t>
        </is>
      </c>
    </row>
    <row r="15">
      <c r="B15" s="18" t="inlineStr">
        <is>
          <t>Price Per Unit</t>
        </is>
      </c>
      <c r="C15" s="18" t="inlineStr">
        <is>
          <t>Decimal</t>
        </is>
      </c>
      <c r="D15" s="18" t="inlineStr">
        <is>
          <t>Net realized price per unit</t>
        </is>
      </c>
    </row>
    <row r="16">
      <c r="B16" s="18" t="inlineStr">
        <is>
          <t>Sales Amount</t>
        </is>
      </c>
      <c r="C16" s="18" t="inlineStr">
        <is>
          <t>Decimal</t>
        </is>
      </c>
      <c r="D16" s="18" t="inlineStr">
        <is>
          <t>Units Sold × Price Per Unit</t>
        </is>
      </c>
    </row>
    <row r="17">
      <c r="B17" s="18" t="inlineStr">
        <is>
          <t>Customer Name</t>
        </is>
      </c>
      <c r="C17" s="18" t="inlineStr">
        <is>
          <t>Text</t>
        </is>
      </c>
      <c r="D17" s="18" t="inlineStr">
        <is>
          <t>Retail / trade account name</t>
        </is>
      </c>
    </row>
    <row r="18">
      <c r="B18" s="18" t="inlineStr">
        <is>
          <t>City</t>
        </is>
      </c>
      <c r="C18" s="18" t="inlineStr">
        <is>
          <t>Text</t>
        </is>
      </c>
      <c r="D18" s="18" t="inlineStr">
        <is>
          <t>US metro of the ship-to / store cluster</t>
        </is>
      </c>
    </row>
    <row r="19">
      <c r="B19" s="18" t="inlineStr">
        <is>
          <t>Region</t>
        </is>
      </c>
      <c r="C19" s="18" t="inlineStr">
        <is>
          <t>Text</t>
        </is>
      </c>
      <c r="D19" s="18" t="inlineStr">
        <is>
          <t>Northeast | Midwest | South | West</t>
        </is>
      </c>
    </row>
    <row r="20">
      <c r="B20" s="18" t="inlineStr">
        <is>
          <t>Order Type</t>
        </is>
      </c>
      <c r="C20" s="18" t="inlineStr">
        <is>
          <t>Text</t>
        </is>
      </c>
      <c r="D20" s="18" t="inlineStr">
        <is>
          <t>Wholesale | DSD | E-comm</t>
        </is>
      </c>
    </row>
    <row r="21">
      <c r="B21" s="18" t="inlineStr">
        <is>
          <t>Settlement Method</t>
        </is>
      </c>
      <c r="C21" s="18" t="inlineStr">
        <is>
          <t>Text</t>
        </is>
      </c>
      <c r="D21" s="18" t="inlineStr">
        <is>
          <t>How the invoice was settled</t>
        </is>
      </c>
    </row>
    <row r="22">
      <c r="B22" s="18" t="inlineStr">
        <is>
          <t>Customer Rating</t>
        </is>
      </c>
      <c r="C22" s="18" t="inlineStr">
        <is>
          <t>Text</t>
        </is>
      </c>
      <c r="D22" s="18" t="inlineStr">
        <is>
          <t>NPS-style bucket from account survey</t>
        </is>
      </c>
    </row>
    <row r="23">
      <c r="B23" s="18" t="inlineStr">
        <is>
          <t>Sales Rep</t>
        </is>
      </c>
      <c r="C23" s="18" t="inlineStr">
        <is>
          <t>Text</t>
        </is>
      </c>
      <c r="D23" s="18" t="inlineStr">
        <is>
          <t>Assigned Northline sales representative</t>
        </is>
      </c>
    </row>
    <row r="26">
      <c r="B26" s="5" t="inlineStr">
        <is>
          <t>Calendar</t>
        </is>
      </c>
    </row>
    <row r="27">
      <c r="B27" s="14" t="inlineStr">
        <is>
          <t>Field</t>
        </is>
      </c>
      <c r="C27" s="14" t="inlineStr">
        <is>
          <t>Type</t>
        </is>
      </c>
      <c r="D27" s="14" t="inlineStr">
        <is>
          <t>Description</t>
        </is>
      </c>
    </row>
    <row r="28">
      <c r="B28" s="18" t="inlineStr">
        <is>
          <t>Date</t>
        </is>
      </c>
      <c r="C28" s="18" t="inlineStr">
        <is>
          <t>Date</t>
        </is>
      </c>
      <c r="D28" s="18" t="inlineStr">
        <is>
          <t>Continuous daily date spine</t>
        </is>
      </c>
    </row>
    <row r="29">
      <c r="B29" s="18" t="inlineStr">
        <is>
          <t>Year / Quarter / Month</t>
        </is>
      </c>
      <c r="C29" s="18" t="inlineStr">
        <is>
          <t>Text/Int</t>
        </is>
      </c>
      <c r="D29" s="18" t="inlineStr">
        <is>
          <t>Standard time-intelligence attributes</t>
        </is>
      </c>
    </row>
    <row r="30">
      <c r="B30" s="18" t="inlineStr">
        <is>
          <t>Month Name</t>
        </is>
      </c>
      <c r="C30" s="18" t="inlineStr">
        <is>
          <t>Text</t>
        </is>
      </c>
      <c r="D30" s="18" t="inlineStr">
        <is>
          <t>Jan–Dec</t>
        </is>
      </c>
    </row>
    <row r="31">
      <c r="B31" s="18" t="inlineStr">
        <is>
          <t>Day / Day Name</t>
        </is>
      </c>
      <c r="C31" s="18" t="inlineStr">
        <is>
          <t>Int/Text</t>
        </is>
      </c>
      <c r="D31" s="18" t="inlineStr">
        <is>
          <t>Day of month and weekday</t>
        </is>
      </c>
    </row>
    <row r="32">
      <c r="B32" s="18" t="inlineStr">
        <is>
          <t>Weeknum</t>
        </is>
      </c>
      <c r="C32" s="18" t="inlineStr">
        <is>
          <t>Integer</t>
        </is>
      </c>
      <c r="D32" s="18" t="inlineStr">
        <is>
          <t>ISO week number</t>
        </is>
      </c>
    </row>
    <row r="33">
      <c r="B33" s="18" t="inlineStr">
        <is>
          <t>YearMonth</t>
        </is>
      </c>
      <c r="C33" s="18" t="inlineStr">
        <is>
          <t>Text</t>
        </is>
      </c>
      <c r="D33" s="18" t="inlineStr">
        <is>
          <t>YYYY-MM label for charts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2026-09-18T15:26:34Z</dcterms:created>
  <dcterms:modified xsi:type="dcterms:W3CDTF">2026-09-18T15:26:34Z</dcterms:modified>
</cp:coreProperties>
</file>